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باقات" sheetId="1" state="visible" r:id="rId1"/>
    <sheet xmlns:r="http://schemas.openxmlformats.org/officeDocument/2006/relationships" name="البنو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3F4FA0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1420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horizontal="center" wrapText="1"/>
    </xf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.made-in-china.com/catlist/Car-Lift-2901010000.html" TargetMode="External" Id="rId1"/><Relationship Type="http://schemas.openxmlformats.org/officeDocument/2006/relationships/hyperlink" Target="https://www.obsessedgarage.com/products/bendpak-10apx-two-post-lift" TargetMode="External" Id="rId2"/><Relationship Type="http://schemas.openxmlformats.org/officeDocument/2006/relationships/hyperlink" Target="https://frontdeskreview.com/product/engine-hoists/pittsburgh-automotive-58755/" TargetMode="External" Id="rId3"/><Relationship Type="http://schemas.openxmlformats.org/officeDocument/2006/relationships/hyperlink" Target="https://www.harborfreight.com/2-ton-capacity-heavy-duty-load-leveler-60659.html" TargetMode="External" Id="rId4"/><Relationship Type="http://schemas.openxmlformats.org/officeDocument/2006/relationships/hyperlink" Target="https://www.harborfreight.com/automotive/jacks-jack-stands/transmission-jacks.html" TargetMode="External" Id="rId5"/><Relationship Type="http://schemas.openxmlformats.org/officeDocument/2006/relationships/hyperlink" Target="https://www.harborfreight.com/automotive/jacks-jack-stands/transmission-jacks.html" TargetMode="External" Id="rId6"/><Relationship Type="http://schemas.openxmlformats.org/officeDocument/2006/relationships/hyperlink" Target="https://www.accio.ai/find-product/scissor-lift-battery-price" TargetMode="External" Id="rId7"/><Relationship Type="http://schemas.openxmlformats.org/officeDocument/2006/relationships/hyperlink" Target="https://slickdeals.net/f/19913265-big-red-atdp10001r-torin-1-ton-battery-lift-table-hydraulic-platform-for-safe-ev-hybrid-battery-removal-repair-insulated-adjustable-tray-dual-cylinder-2429-99" TargetMode="External" Id="rId8"/><Relationship Type="http://schemas.openxmlformats.org/officeDocument/2006/relationships/hyperlink" Target="https://www.toolconnection.co.uk/products/hybrid-electric-vehicles/workshop-equipment/lifting/8889-ev-battery-lifting-table-1-2-tonne" TargetMode="External" Id="rId9"/><Relationship Type="http://schemas.openxmlformats.org/officeDocument/2006/relationships/hyperlink" Target="https://www.zoro.com/salisbury-electrical-insulating-glove-kit-1-000v-ac-1-500v-dc-rubber-11-length-yellow-size-9-gk011y9/i/G2051856/" TargetMode="External" Id="rId10"/><Relationship Type="http://schemas.openxmlformats.org/officeDocument/2006/relationships/hyperlink" Target="https://www.supplyhouse.com/Wiha-91890-26-Piece-Insulated-Hybrid-and-EV-Essentials-Tool-Kit" TargetMode="External" Id="rId11"/><Relationship Type="http://schemas.openxmlformats.org/officeDocument/2006/relationships/hyperlink" Target="https://www.stauffersafety.com/Brands/salisbury/Catalog/electrical-safety/accessories/salisbury-24401-es-insulated-rescue-hook-654968" TargetMode="External" Id="rId12"/><Relationship Type="http://schemas.openxmlformats.org/officeDocument/2006/relationships/hyperlink" Target="https://uk.rs-online.com/web/p/electrical-safety-mats/0830152" TargetMode="External" Id="rId13"/><Relationship Type="http://schemas.openxmlformats.org/officeDocument/2006/relationships/hyperlink" Target="https://www.rapidonline.com/sealey-ev1000-vehicle-fire-safety-blanket-pu-coated-6-x-8m-94-5873" TargetMode="External" Id="rId14"/><Relationship Type="http://schemas.openxmlformats.org/officeDocument/2006/relationships/hyperlink" Target="https://eleshop.eu/uni-t-ut502a.html" TargetMode="External" Id="rId15"/><Relationship Type="http://schemas.openxmlformats.org/officeDocument/2006/relationships/hyperlink" Target="https://www.transcat.com/fluke-1507-fluke-1507" TargetMode="External" Id="rId16"/><Relationship Type="http://schemas.openxmlformats.org/officeDocument/2006/relationships/hyperlink" Target="https://www.ebay.com/itm/286809229792" TargetMode="External" Id="rId17"/><Relationship Type="http://schemas.openxmlformats.org/officeDocument/2006/relationships/hyperlink" Target="https://slickdeals.net/f/16748897-fluke-87v-electrician-s-industrial-10a-1000v-digital-multimeter-318-60-free-shipping" TargetMode="External" Id="rId18"/><Relationship Type="http://schemas.openxmlformats.org/officeDocument/2006/relationships/hyperlink" Target="https://eleshop.eu/uni-t-ut219ds-current-clamp.html" TargetMode="External" Id="rId19"/><Relationship Type="http://schemas.openxmlformats.org/officeDocument/2006/relationships/hyperlink" Target="https://elliottelectric.com/P/Item/FLU/376FC/" TargetMode="External" Id="rId20"/><Relationship Type="http://schemas.openxmlformats.org/officeDocument/2006/relationships/hyperlink" Target="https://probots.co.in/mks-canable-v2-0-usb-to-can-analyzer-can-fd-stm32g431c8.html" TargetMode="External" Id="rId21"/><Relationship Type="http://schemas.openxmlformats.org/officeDocument/2006/relationships/hyperlink" Target="https://gridconnect.com/products/can-usb-adapter-pcan-usb" TargetMode="External" Id="rId22"/><Relationship Type="http://schemas.openxmlformats.org/officeDocument/2006/relationships/hyperlink" Target="https://androidcentral.com/accessories/this-usb-c-thermal-camera-lets-you-see-your-surroundings-in-a-new-light-and-its-down-to-dollar219" TargetMode="External" Id="rId23"/><Relationship Type="http://schemas.openxmlformats.org/officeDocument/2006/relationships/hyperlink" Target="https://www.fruugo.ca/high-accuracy-fast-yr1035-lithium-battery-internal-resistance-test-instrument-100v-electric-vehicle-group-lithium-battery/p-420601047" TargetMode="External" Id="rId24"/><Relationship Type="http://schemas.openxmlformats.org/officeDocument/2006/relationships/hyperlink" Target="https://www.ebay.de/itm/156181940601" TargetMode="External" Id="rId25"/><Relationship Type="http://schemas.openxmlformats.org/officeDocument/2006/relationships/hyperlink" Target="https://www.accio.ai/find-product/li-ion-batteri-laser-weld-machin" TargetMode="External" Id="rId26"/><Relationship Type="http://schemas.openxmlformats.org/officeDocument/2006/relationships/hyperlink" Target="https://www.ebay.com/itm/135129014715" TargetMode="External" Id="rId27"/><Relationship Type="http://schemas.openxmlformats.org/officeDocument/2006/relationships/hyperlink" Target="https://slickdeals.net/f/16606175-tekton-1-2-inch-drive-micrometer-torque-wrench-10-150-ft-lb-24335-38-79-38-79" TargetMode="External" Id="rId28"/><Relationship Type="http://schemas.openxmlformats.org/officeDocument/2006/relationships/hyperlink" Target="https://www.wihatools.com/insulated-ratcheting-torque-wrench-1-2" TargetMode="External" Id="rId29"/><Relationship Type="http://schemas.openxmlformats.org/officeDocument/2006/relationships/hyperlink" Target="https://www.cableorganizer.com/products/economical-16-ton-heavy-duty-hydraulic-crimping-tool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14" customWidth="1" min="3" max="3"/>
    <col width="20" customWidth="1" min="4" max="4"/>
    <col width="10" customWidth="1" min="5" max="5"/>
  </cols>
  <sheetData>
    <row r="1">
      <c r="A1" s="1" t="inlineStr">
        <is>
          <t>الباقة</t>
        </is>
      </c>
      <c r="B1" s="1" t="inlineStr">
        <is>
          <t>لمن</t>
        </is>
      </c>
      <c r="C1" s="1" t="inlineStr">
        <is>
          <t>الإجمالي $</t>
        </is>
      </c>
      <c r="D1" s="1" t="inlineStr">
        <is>
          <t>منه بأسعار منشورة $</t>
        </is>
      </c>
      <c r="E1" s="1" t="inlineStr">
        <is>
          <t>النسبة</t>
        </is>
      </c>
    </row>
    <row r="2">
      <c r="A2" t="inlineStr">
        <is>
          <t>الباقة الأساسية</t>
        </is>
      </c>
      <c r="B2" t="inlineStr">
        <is>
          <t>ورشة ناشئة بفنيَّين، تحوّل سيارة واحدة شهرياً.</t>
        </is>
      </c>
      <c r="C2" s="9">
        <f>البنود!L59</f>
        <v/>
      </c>
      <c r="D2" s="9">
        <f>SUMIFS(البنود!L2:L57,البنود!F2:F57,"&lt;&gt;تقدير")</f>
        <v/>
      </c>
      <c r="E2" s="3">
        <f>D2/C2</f>
        <v/>
      </c>
    </row>
    <row r="3">
      <c r="A3" t="inlineStr">
        <is>
          <t>الباقة المتوسطة</t>
        </is>
      </c>
      <c r="B3" t="inlineStr">
        <is>
          <t>ورشة منتظمة تحوّل سيارتين إلى ثلاث شهرياً.</t>
        </is>
      </c>
      <c r="C3" s="9">
        <f>البنود!M59</f>
        <v/>
      </c>
      <c r="D3" s="9">
        <f>SUMIFS(البنود!M2:M57,البنود!F2:F57,"&lt;&gt;تقدير")</f>
        <v/>
      </c>
      <c r="E3" s="3">
        <f>D3/C3</f>
        <v/>
      </c>
    </row>
    <row r="4">
      <c r="A4" t="inlineStr">
        <is>
          <t>الباقة الاحترافية</t>
        </is>
      </c>
      <c r="B4" t="inlineStr">
        <is>
          <t>مركز تحويل معتمد بثلاثة فنيين أو أكثر.</t>
        </is>
      </c>
      <c r="C4" s="9">
        <f>البنود!N59</f>
        <v/>
      </c>
      <c r="D4" s="9">
        <f>SUMIFS(البنود!N2:N57,البنود!F2:F57,"&lt;&gt;تقدير")</f>
        <v/>
      </c>
      <c r="E4" s="3">
        <f>D4/C4</f>
        <v/>
      </c>
    </row>
    <row r="5"/>
    <row r="6">
      <c r="A6" t="inlineStr">
        <is>
          <t>ملاحظة</t>
        </is>
      </c>
      <c r="B6" t="inlineStr">
        <is>
          <t>الأسعار بالدولار في 25/10/2026 دون الشحن والجمارك. اليورو 1.15، والجنيه 1.30، والروبية 84 لكل دولار. غيّر الكميات في ورقة البنود فتتحدث الإجماليات.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9"/>
  <sheetViews>
    <sheetView rightToLeft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20" customWidth="1" min="3" max="3"/>
    <col width="40" customWidth="1" min="4" max="4"/>
    <col width="12" customWidth="1" min="5" max="5"/>
    <col width="12" customWidth="1" min="6" max="6"/>
    <col width="20" customWidth="1" min="7" max="7"/>
    <col width="12" customWidth="1" min="8" max="8"/>
    <col width="7" customWidth="1" min="9" max="9"/>
    <col width="7" customWidth="1" min="10" max="10"/>
    <col width="7" customWidth="1" min="11" max="11"/>
    <col width="12" customWidth="1" min="12" max="12"/>
    <col width="12" customWidth="1" min="13" max="13"/>
    <col width="12" customWidth="1" min="14" max="14"/>
    <col width="30" customWidth="1" min="15" max="15"/>
    <col width="40" customWidth="1" min="16" max="16"/>
  </cols>
  <sheetData>
    <row r="1">
      <c r="A1" s="4" t="inlineStr">
        <is>
          <t>المجموعة</t>
        </is>
      </c>
      <c r="B1" s="4" t="inlineStr">
        <is>
          <t>البند</t>
        </is>
      </c>
      <c r="C1" s="4" t="inlineStr">
        <is>
          <t>المنطقة</t>
        </is>
      </c>
      <c r="D1" s="4" t="inlineStr">
        <is>
          <t>الخيار</t>
        </is>
      </c>
      <c r="E1" s="4" t="inlineStr">
        <is>
          <t>الفئة</t>
        </is>
      </c>
      <c r="F1" s="4" t="inlineStr">
        <is>
          <t>نوع السعر</t>
        </is>
      </c>
      <c r="G1" s="4" t="inlineStr">
        <is>
          <t>السعر الأصلي</t>
        </is>
      </c>
      <c r="H1" s="4" t="inlineStr">
        <is>
          <t>سعر الوحدة $</t>
        </is>
      </c>
      <c r="I1" s="4" t="inlineStr">
        <is>
          <t>كمية أ</t>
        </is>
      </c>
      <c r="J1" s="4" t="inlineStr">
        <is>
          <t>كمية م</t>
        </is>
      </c>
      <c r="K1" s="4" t="inlineStr">
        <is>
          <t>كمية ح</t>
        </is>
      </c>
      <c r="L1" s="4" t="inlineStr">
        <is>
          <t>إجمالي أ</t>
        </is>
      </c>
      <c r="M1" s="4" t="inlineStr">
        <is>
          <t>إجمالي م</t>
        </is>
      </c>
      <c r="N1" s="4" t="inlineStr">
        <is>
          <t>إجمالي ح</t>
        </is>
      </c>
      <c r="O1" s="4" t="inlineStr">
        <is>
          <t>المصدر</t>
        </is>
      </c>
      <c r="P1" s="4" t="inlineStr">
        <is>
          <t>الرابط</t>
        </is>
      </c>
    </row>
    <row r="2">
      <c r="A2" t="inlineStr">
        <is>
          <t>الرفع وفك منظومة الاحتراق</t>
        </is>
      </c>
      <c r="B2" t="inlineStr">
        <is>
          <t>رافعة سيارات بعمودين 4 طن</t>
        </is>
      </c>
      <c r="C2" t="inlineStr">
        <is>
          <t>Z1 منصة الرفع</t>
        </is>
      </c>
      <c r="D2" t="inlineStr">
        <is>
          <t>رافعة صينية 4,000 كغ (Qingdao Gaosheng Huitong)</t>
        </is>
      </c>
      <c r="E2" t="inlineStr">
        <is>
          <t>اقتصادي</t>
        </is>
      </c>
      <c r="F2" t="inlineStr">
        <is>
          <t>نطاق المصنع</t>
        </is>
      </c>
      <c r="G2" t="inlineStr">
        <is>
          <t>$999–1,299 FOB</t>
        </is>
      </c>
      <c r="H2" s="10" t="n">
        <v>1299</v>
      </c>
      <c r="I2" t="n">
        <v>1</v>
      </c>
      <c r="J2" t="n">
        <v>1</v>
      </c>
      <c r="K2" t="n">
        <v>0</v>
      </c>
      <c r="L2" s="10">
        <f>H2*I2</f>
        <v/>
      </c>
      <c r="M2" s="10">
        <f>H2*J2</f>
        <v/>
      </c>
      <c r="N2" s="10">
        <f>H2*K2</f>
        <v/>
      </c>
      <c r="O2" t="inlineStr">
        <is>
          <t>Made-in-China · رافعات بعمودين 4,000 كغ (Qingdao Gaosheng Huitong)</t>
        </is>
      </c>
      <c r="P2" s="6" t="inlineStr">
        <is>
          <t>https://m.made-in-china.com/catlist/Car-Lift-2901010000.html</t>
        </is>
      </c>
    </row>
    <row r="3">
      <c r="A3" t="inlineStr">
        <is>
          <t>الرفع وفك منظومة الاحتراق</t>
        </is>
      </c>
      <c r="B3" t="inlineStr">
        <is>
          <t>رافعة سيارات بعمودين 4 طن</t>
        </is>
      </c>
      <c r="C3" t="inlineStr">
        <is>
          <t>Z1 منصة الرفع</t>
        </is>
      </c>
      <c r="D3" t="inlineStr">
        <is>
          <t>BendPak 10APX · 10,000 lb · معتمدة ALI</t>
        </is>
      </c>
      <c r="E3" t="inlineStr">
        <is>
          <t>علامة معروفة</t>
        </is>
      </c>
      <c r="F3" t="inlineStr">
        <is>
          <t>سعر منشور</t>
        </is>
      </c>
      <c r="G3" t="inlineStr">
        <is>
          <t>$6,895</t>
        </is>
      </c>
      <c r="H3" s="10" t="n">
        <v>6895</v>
      </c>
      <c r="I3" t="n">
        <v>0</v>
      </c>
      <c r="J3" t="n">
        <v>0</v>
      </c>
      <c r="K3" t="n">
        <v>1</v>
      </c>
      <c r="L3" s="10">
        <f>H3*I3</f>
        <v/>
      </c>
      <c r="M3" s="10">
        <f>H3*J3</f>
        <v/>
      </c>
      <c r="N3" s="10">
        <f>H3*K3</f>
        <v/>
      </c>
      <c r="O3" t="inlineStr">
        <is>
          <t>Obsessed Garage · BendPak 10APX</t>
        </is>
      </c>
      <c r="P3" s="6" t="inlineStr">
        <is>
          <t>https://www.obsessedgarage.com/products/bendpak-10apx-two-post-lift</t>
        </is>
      </c>
    </row>
    <row r="4">
      <c r="A4" t="inlineStr">
        <is>
          <t>الرفع وفك منظومة الاحتراق</t>
        </is>
      </c>
      <c r="B4" t="inlineStr">
        <is>
          <t>رافعة محرك قابلة للطي 2 طن</t>
        </is>
      </c>
      <c r="C4" t="inlineStr">
        <is>
          <t>Z2 فك المحرك والسوائل</t>
        </is>
      </c>
      <c r="D4" t="inlineStr">
        <is>
          <t>Pittsburgh 2-Ton Foldable Shop Crane 58755</t>
        </is>
      </c>
      <c r="E4" t="inlineStr">
        <is>
          <t>علامة معروفة</t>
        </is>
      </c>
      <c r="F4" t="inlineStr">
        <is>
          <t>سعر منشور</t>
        </is>
      </c>
      <c r="G4" t="inlineStr">
        <is>
          <t>$369.99</t>
        </is>
      </c>
      <c r="H4" s="10" t="n">
        <v>369.99</v>
      </c>
      <c r="I4" t="n">
        <v>1</v>
      </c>
      <c r="J4" t="n">
        <v>1</v>
      </c>
      <c r="K4" t="n">
        <v>1</v>
      </c>
      <c r="L4" s="10">
        <f>H4*I4</f>
        <v/>
      </c>
      <c r="M4" s="10">
        <f>H4*J4</f>
        <v/>
      </c>
      <c r="N4" s="10">
        <f>H4*K4</f>
        <v/>
      </c>
      <c r="O4" t="inlineStr">
        <is>
          <t>Front Desk Review · Pittsburgh 2-Ton Foldable Crane 58755 (سعر Harbor Freight في 10/10/2026)</t>
        </is>
      </c>
      <c r="P4" s="6" t="inlineStr">
        <is>
          <t>https://frontdeskreview.com/product/engine-hoists/pittsburgh-automotive-58755/</t>
        </is>
      </c>
    </row>
    <row r="5">
      <c r="A5" t="inlineStr">
        <is>
          <t>الرفع وفك منظومة الاحتراق</t>
        </is>
      </c>
      <c r="B5" t="inlineStr">
        <is>
          <t>معدّل ميل المحرك</t>
        </is>
      </c>
      <c r="C5" t="inlineStr">
        <is>
          <t>Z2 فك المحرك والسوائل</t>
        </is>
      </c>
      <c r="D5" t="inlineStr">
        <is>
          <t>Pittsburgh 2 Ton Load Leveler 60659</t>
        </is>
      </c>
      <c r="E5" t="inlineStr">
        <is>
          <t>علامة معروفة</t>
        </is>
      </c>
      <c r="F5" t="inlineStr">
        <is>
          <t>سعر منشور</t>
        </is>
      </c>
      <c r="G5" t="inlineStr">
        <is>
          <t>$44.99</t>
        </is>
      </c>
      <c r="H5" s="10" t="n">
        <v>44.99</v>
      </c>
      <c r="I5" t="n">
        <v>1</v>
      </c>
      <c r="J5" t="n">
        <v>1</v>
      </c>
      <c r="K5" t="n">
        <v>1</v>
      </c>
      <c r="L5" s="10">
        <f>H5*I5</f>
        <v/>
      </c>
      <c r="M5" s="10">
        <f>H5*J5</f>
        <v/>
      </c>
      <c r="N5" s="10">
        <f>H5*K5</f>
        <v/>
      </c>
      <c r="O5" t="inlineStr">
        <is>
          <t>Harbor Freight · 2 Ton Load Leveler 60659</t>
        </is>
      </c>
      <c r="P5" s="6" t="inlineStr">
        <is>
          <t>https://www.harborfreight.com/2-ton-capacity-heavy-duty-load-leveler-60659.html</t>
        </is>
      </c>
    </row>
    <row r="6">
      <c r="A6" t="inlineStr">
        <is>
          <t>الرفع وفك منظومة الاحتراق</t>
        </is>
      </c>
      <c r="B6" t="inlineStr">
        <is>
          <t>رافعة ناقل حركة منخفضة</t>
        </is>
      </c>
      <c r="C6" t="inlineStr">
        <is>
          <t>Z1 منصة الرفع</t>
        </is>
      </c>
      <c r="D6" t="inlineStr">
        <is>
          <t>Pittsburgh 450 lb Low-Lift Transmission Jack</t>
        </is>
      </c>
      <c r="E6" t="inlineStr">
        <is>
          <t>علامة معروفة</t>
        </is>
      </c>
      <c r="F6" t="inlineStr">
        <is>
          <t>سعر منشور</t>
        </is>
      </c>
      <c r="G6" t="inlineStr">
        <is>
          <t>$129.99</t>
        </is>
      </c>
      <c r="H6" s="10" t="n">
        <v>129.99</v>
      </c>
      <c r="I6" t="n">
        <v>1</v>
      </c>
      <c r="J6" t="n">
        <v>0</v>
      </c>
      <c r="K6" t="n">
        <v>0</v>
      </c>
      <c r="L6" s="10">
        <f>H6*I6</f>
        <v/>
      </c>
      <c r="M6" s="10">
        <f>H6*J6</f>
        <v/>
      </c>
      <c r="N6" s="10">
        <f>H6*K6</f>
        <v/>
      </c>
      <c r="O6" t="inlineStr">
        <is>
          <t>Harbor Freight · Transmission Jacks</t>
        </is>
      </c>
      <c r="P6" s="6" t="inlineStr">
        <is>
          <t>https://www.harborfreight.com/automotive/jacks-jack-stands/transmission-jacks.html</t>
        </is>
      </c>
    </row>
    <row r="7">
      <c r="A7" t="inlineStr">
        <is>
          <t>الرفع وفك منظومة الاحتراق</t>
        </is>
      </c>
      <c r="B7" t="inlineStr">
        <is>
          <t>رافعة ناقل حركة منخفضة</t>
        </is>
      </c>
      <c r="C7" t="inlineStr">
        <is>
          <t>Z1 منصة الرفع</t>
        </is>
      </c>
      <c r="D7" t="inlineStr">
        <is>
          <t>Pittsburgh 800 lb Low-Lift Transmission Jack</t>
        </is>
      </c>
      <c r="E7" t="inlineStr">
        <is>
          <t>علامة معروفة</t>
        </is>
      </c>
      <c r="F7" t="inlineStr">
        <is>
          <t>سعر منشور</t>
        </is>
      </c>
      <c r="G7" t="inlineStr">
        <is>
          <t>$239.99</t>
        </is>
      </c>
      <c r="H7" s="10" t="n">
        <v>239.99</v>
      </c>
      <c r="I7" t="n">
        <v>0</v>
      </c>
      <c r="J7" t="n">
        <v>1</v>
      </c>
      <c r="K7" t="n">
        <v>1</v>
      </c>
      <c r="L7" s="10">
        <f>H7*I7</f>
        <v/>
      </c>
      <c r="M7" s="10">
        <f>H7*J7</f>
        <v/>
      </c>
      <c r="N7" s="10">
        <f>H7*K7</f>
        <v/>
      </c>
      <c r="O7" t="inlineStr">
        <is>
          <t>Harbor Freight · Transmission Jacks</t>
        </is>
      </c>
      <c r="P7" s="6" t="inlineStr">
        <is>
          <t>https://www.harborfreight.com/automotive/jacks-jack-stands/transmission-jacks.html</t>
        </is>
      </c>
    </row>
    <row r="8">
      <c r="A8" t="inlineStr">
        <is>
          <t>الرفع وفك منظومة الاحتراق</t>
        </is>
      </c>
      <c r="B8" t="inlineStr">
        <is>
          <t>طاولة رفع البطارية</t>
        </is>
      </c>
      <c r="C8" t="inlineStr">
        <is>
          <t>Z1 منصة الرفع</t>
        </is>
      </c>
      <c r="D8" t="inlineStr">
        <is>
          <t>طاولة صينية لبطاريات EV · 1,500 كغ (Hongtech / ZeHoo)</t>
        </is>
      </c>
      <c r="E8" t="inlineStr">
        <is>
          <t>اقتصادي</t>
        </is>
      </c>
      <c r="F8" t="inlineStr">
        <is>
          <t>نطاق المصنع</t>
        </is>
      </c>
      <c r="G8" t="inlineStr">
        <is>
          <t>$870–1,070</t>
        </is>
      </c>
      <c r="H8" s="10" t="n">
        <v>980</v>
      </c>
      <c r="I8" t="n">
        <v>0</v>
      </c>
      <c r="J8" t="n">
        <v>1</v>
      </c>
      <c r="K8" t="n">
        <v>0</v>
      </c>
      <c r="L8" s="10">
        <f>H8*I8</f>
        <v/>
      </c>
      <c r="M8" s="10">
        <f>H8*J8</f>
        <v/>
      </c>
      <c r="N8" s="10">
        <f>H8*K8</f>
        <v/>
      </c>
      <c r="O8" t="inlineStr">
        <is>
          <t>Accio (Alibaba) · طاولات رفع بطاريات EV</t>
        </is>
      </c>
      <c r="P8" s="6" t="inlineStr">
        <is>
          <t>https://www.accio.ai/find-product/scissor-lift-battery-price</t>
        </is>
      </c>
    </row>
    <row r="9">
      <c r="A9" t="inlineStr">
        <is>
          <t>الرفع وفك منظومة الاحتراق</t>
        </is>
      </c>
      <c r="B9" t="inlineStr">
        <is>
          <t>طاولة رفع البطارية</t>
        </is>
      </c>
      <c r="C9" t="inlineStr">
        <is>
          <t>Z1 منصة الرفع</t>
        </is>
      </c>
      <c r="D9" t="inlineStr">
        <is>
          <t>Big Red Torin ATDP10001R · 1 طن</t>
        </is>
      </c>
      <c r="E9" t="inlineStr">
        <is>
          <t>علامة معروفة</t>
        </is>
      </c>
      <c r="F9" t="inlineStr">
        <is>
          <t>سعر منشور</t>
        </is>
      </c>
      <c r="G9" t="inlineStr">
        <is>
          <t>$2,429.99</t>
        </is>
      </c>
      <c r="H9" s="10" t="n">
        <v>2429.99</v>
      </c>
      <c r="I9" t="n">
        <v>0</v>
      </c>
      <c r="J9" t="n">
        <v>0</v>
      </c>
      <c r="K9" t="n">
        <v>1</v>
      </c>
      <c r="L9" s="10">
        <f>H9*I9</f>
        <v/>
      </c>
      <c r="M9" s="10">
        <f>H9*J9</f>
        <v/>
      </c>
      <c r="N9" s="10">
        <f>H9*K9</f>
        <v/>
      </c>
      <c r="O9" t="inlineStr">
        <is>
          <t>Slickdeals · Big Red Torin ATDP10001R (Amazon)</t>
        </is>
      </c>
      <c r="P9" s="6" t="inlineStr">
        <is>
          <t>https://slickdeals.net/f/19913265-big-red-atdp10001r-torin-1-ton-battery-lift-table-hydraulic-platform-for-safe-ev-hybrid-battery-removal-repair-insulated-adjustable-tray-dual-cylinder-2429-99</t>
        </is>
      </c>
    </row>
    <row r="10">
      <c r="A10" t="inlineStr">
        <is>
          <t>الرفع وفك منظومة الاحتراق</t>
        </is>
      </c>
      <c r="B10" t="inlineStr">
        <is>
          <t>طاولة رفع البطارية</t>
        </is>
      </c>
      <c r="C10" t="inlineStr">
        <is>
          <t>Z1 منصة الرفع</t>
        </is>
      </c>
      <c r="D10" t="inlineStr">
        <is>
          <t>Laser Tools 8889 · 1.2 طن</t>
        </is>
      </c>
      <c r="E10" t="inlineStr">
        <is>
          <t>علامة معروفة</t>
        </is>
      </c>
      <c r="F10" t="inlineStr">
        <is>
          <t>سعر منشور</t>
        </is>
      </c>
      <c r="G10" t="inlineStr">
        <is>
          <t>£3,920 دون الضريبة</t>
        </is>
      </c>
      <c r="H10" s="10" t="n">
        <v>5096.04</v>
      </c>
      <c r="I10" t="n">
        <v>0</v>
      </c>
      <c r="J10" t="n">
        <v>0</v>
      </c>
      <c r="K10" t="n">
        <v>0</v>
      </c>
      <c r="L10" s="10">
        <f>H10*I10</f>
        <v/>
      </c>
      <c r="M10" s="10">
        <f>H10*J10</f>
        <v/>
      </c>
      <c r="N10" s="10">
        <f>H10*K10</f>
        <v/>
      </c>
      <c r="O10" t="inlineStr">
        <is>
          <t>Tool Connection · Laser Tools 8889 EV Battery Lifting Table</t>
        </is>
      </c>
      <c r="P10" s="6" t="inlineStr">
        <is>
          <t>https://www.toolconnection.co.uk/products/hybrid-electric-vehicles/workshop-equipment/lifting/8889-ev-battery-lifting-table-1-2-tonne</t>
        </is>
      </c>
    </row>
    <row r="11">
      <c r="A11" t="inlineStr">
        <is>
          <t>الرفع وفك منظومة الاحتراق</t>
        </is>
      </c>
      <c r="B11" t="inlineStr">
        <is>
          <t>معدات تفريغ الوقود والزيوت والمبرد</t>
        </is>
      </c>
      <c r="C11" t="inlineStr">
        <is>
          <t>Z2 فك المحرك والسوائل</t>
        </is>
      </c>
      <c r="D11" t="inlineStr">
        <is>
          <t>طقم تفريغ عام (مضخة + حاوية + حوض)</t>
        </is>
      </c>
      <c r="E11" t="inlineStr">
        <is>
          <t>اقتصادي</t>
        </is>
      </c>
      <c r="F11" t="inlineStr">
        <is>
          <t>تقدير</t>
        </is>
      </c>
      <c r="H11" s="10" t="n">
        <v>150</v>
      </c>
      <c r="I11" t="n">
        <v>1</v>
      </c>
      <c r="J11" t="n">
        <v>1</v>
      </c>
      <c r="K11" t="n">
        <v>1</v>
      </c>
      <c r="L11" s="10">
        <f>H11*I11</f>
        <v/>
      </c>
      <c r="M11" s="10">
        <f>H11*J11</f>
        <v/>
      </c>
      <c r="N11" s="10">
        <f>H11*K11</f>
        <v/>
      </c>
      <c r="O11" t="inlineStr">
        <is>
          <t>تقدير</t>
        </is>
      </c>
    </row>
    <row r="12">
      <c r="A12" t="inlineStr">
        <is>
          <t>الحماية الشخصية والسلامة من الجهد العالي</t>
        </is>
      </c>
      <c r="B12" t="inlineStr">
        <is>
          <t>قفازات عازلة فئة 0 مع واقيات جلدية</t>
        </is>
      </c>
      <c r="C12" t="inlineStr">
        <is>
          <t>Z7 محطة الحماية</t>
        </is>
      </c>
      <c r="D12" t="inlineStr">
        <is>
          <t>قفازات فئة 0 صينية</t>
        </is>
      </c>
      <c r="E12" t="inlineStr">
        <is>
          <t>اقتصادي</t>
        </is>
      </c>
      <c r="F12" t="inlineStr">
        <is>
          <t>تقدير</t>
        </is>
      </c>
      <c r="H12" s="10" t="n">
        <v>45</v>
      </c>
      <c r="I12" t="n">
        <v>0</v>
      </c>
      <c r="J12" t="n">
        <v>0</v>
      </c>
      <c r="K12" t="n">
        <v>0</v>
      </c>
      <c r="L12" s="10">
        <f>H12*I12</f>
        <v/>
      </c>
      <c r="M12" s="10">
        <f>H12*J12</f>
        <v/>
      </c>
      <c r="N12" s="10">
        <f>H12*K12</f>
        <v/>
      </c>
      <c r="O12" t="inlineStr">
        <is>
          <t>تقدير</t>
        </is>
      </c>
    </row>
    <row r="13">
      <c r="A13" t="inlineStr">
        <is>
          <t>الحماية الشخصية والسلامة من الجهد العالي</t>
        </is>
      </c>
      <c r="B13" t="inlineStr">
        <is>
          <t>قفازات عازلة فئة 0 مع واقيات جلدية</t>
        </is>
      </c>
      <c r="C13" t="inlineStr">
        <is>
          <t>Z7 محطة الحماية</t>
        </is>
      </c>
      <c r="D13" t="inlineStr">
        <is>
          <t>Salisbury GK011Y · طقم القفاز والواقي والحقيبة</t>
        </is>
      </c>
      <c r="E13" t="inlineStr">
        <is>
          <t>علامة معروفة</t>
        </is>
      </c>
      <c r="F13" t="inlineStr">
        <is>
          <t>سعر منشور</t>
        </is>
      </c>
      <c r="G13" t="inlineStr">
        <is>
          <t>$190.99</t>
        </is>
      </c>
      <c r="H13" s="10" t="n">
        <v>190.99</v>
      </c>
      <c r="I13" t="n">
        <v>2</v>
      </c>
      <c r="J13" t="n">
        <v>2</v>
      </c>
      <c r="K13" t="n">
        <v>3</v>
      </c>
      <c r="L13" s="10">
        <f>H13*I13</f>
        <v/>
      </c>
      <c r="M13" s="10">
        <f>H13*J13</f>
        <v/>
      </c>
      <c r="N13" s="10">
        <f>H13*K13</f>
        <v/>
      </c>
      <c r="O13" t="inlineStr">
        <is>
          <t>Zoro · Salisbury GK011Y Class 0 Glove Kit</t>
        </is>
      </c>
      <c r="P13" s="6" t="inlineStr">
        <is>
          <t>https://www.zoro.com/salisbury-electrical-insulating-glove-kit-1-000v-ac-1-500v-dc-rubber-11-length-yellow-size-9-gk011y9/i/G2051856/</t>
        </is>
      </c>
    </row>
    <row r="14">
      <c r="A14" t="inlineStr">
        <is>
          <t>الحماية الشخصية والسلامة من الجهد العالي</t>
        </is>
      </c>
      <c r="B14" t="inlineStr">
        <is>
          <t>طقم أدوات معزولة 1,000 V</t>
        </is>
      </c>
      <c r="C14" t="inlineStr">
        <is>
          <t>Z7 محطة الحماية</t>
        </is>
      </c>
      <c r="D14" t="inlineStr">
        <is>
          <t>طقم صيني بعلامة VDE / IEC 60900</t>
        </is>
      </c>
      <c r="E14" t="inlineStr">
        <is>
          <t>اقتصادي</t>
        </is>
      </c>
      <c r="F14" t="inlineStr">
        <is>
          <t>تقدير</t>
        </is>
      </c>
      <c r="H14" s="10" t="n">
        <v>95</v>
      </c>
      <c r="I14" t="n">
        <v>1</v>
      </c>
      <c r="J14" t="n">
        <v>0</v>
      </c>
      <c r="K14" t="n">
        <v>0</v>
      </c>
      <c r="L14" s="10">
        <f>H14*I14</f>
        <v/>
      </c>
      <c r="M14" s="10">
        <f>H14*J14</f>
        <v/>
      </c>
      <c r="N14" s="10">
        <f>H14*K14</f>
        <v/>
      </c>
      <c r="O14" t="inlineStr">
        <is>
          <t>تقدير</t>
        </is>
      </c>
    </row>
    <row r="15">
      <c r="A15" t="inlineStr">
        <is>
          <t>الحماية الشخصية والسلامة من الجهد العالي</t>
        </is>
      </c>
      <c r="B15" t="inlineStr">
        <is>
          <t>طقم أدوات معزولة 1,000 V</t>
        </is>
      </c>
      <c r="C15" t="inlineStr">
        <is>
          <t>Z7 محطة الحماية</t>
        </is>
      </c>
      <c r="D15" t="inlineStr">
        <is>
          <t>Wiha 91890 · 26 قطعة للسيارات الهجينة والكهربائية</t>
        </is>
      </c>
      <c r="E15" t="inlineStr">
        <is>
          <t>علامة معروفة</t>
        </is>
      </c>
      <c r="F15" t="inlineStr">
        <is>
          <t>سعر منشور</t>
        </is>
      </c>
      <c r="G15" t="inlineStr">
        <is>
          <t>$519.98</t>
        </is>
      </c>
      <c r="H15" s="10" t="n">
        <v>519.98</v>
      </c>
      <c r="I15" t="n">
        <v>0</v>
      </c>
      <c r="J15" t="n">
        <v>1</v>
      </c>
      <c r="K15" t="n">
        <v>2</v>
      </c>
      <c r="L15" s="10">
        <f>H15*I15</f>
        <v/>
      </c>
      <c r="M15" s="10">
        <f>H15*J15</f>
        <v/>
      </c>
      <c r="N15" s="10">
        <f>H15*K15</f>
        <v/>
      </c>
      <c r="O15" t="inlineStr">
        <is>
          <t>SupplyHouse · Wiha 91890 Insulated EV Kit</t>
        </is>
      </c>
      <c r="P15" s="6" t="inlineStr">
        <is>
          <t>https://www.supplyhouse.com/Wiha-91890-26-Piece-Insulated-Hybrid-and-EV-Essentials-Tool-Kit</t>
        </is>
      </c>
    </row>
    <row r="16">
      <c r="A16" t="inlineStr">
        <is>
          <t>الحماية الشخصية والسلامة من الجهد العالي</t>
        </is>
      </c>
      <c r="B16" t="inlineStr">
        <is>
          <t>خطاف إنقاذ معزول</t>
        </is>
      </c>
      <c r="C16" t="inlineStr">
        <is>
          <t>Z1 منصة الرفع</t>
        </is>
      </c>
      <c r="D16" t="inlineStr">
        <is>
          <t>خطاف إنقاذ صيني من الألياف الزجاجية</t>
        </is>
      </c>
      <c r="E16" t="inlineStr">
        <is>
          <t>اقتصادي</t>
        </is>
      </c>
      <c r="F16" t="inlineStr">
        <is>
          <t>تقدير</t>
        </is>
      </c>
      <c r="H16" s="10" t="n">
        <v>60</v>
      </c>
      <c r="I16" t="n">
        <v>1</v>
      </c>
      <c r="J16" t="n">
        <v>2</v>
      </c>
      <c r="K16" t="n">
        <v>0</v>
      </c>
      <c r="L16" s="10">
        <f>H16*I16</f>
        <v/>
      </c>
      <c r="M16" s="10">
        <f>H16*J16</f>
        <v/>
      </c>
      <c r="N16" s="10">
        <f>H16*K16</f>
        <v/>
      </c>
      <c r="O16" t="inlineStr">
        <is>
          <t>تقدير</t>
        </is>
      </c>
    </row>
    <row r="17">
      <c r="A17" t="inlineStr">
        <is>
          <t>الحماية الشخصية والسلامة من الجهد العالي</t>
        </is>
      </c>
      <c r="B17" t="inlineStr">
        <is>
          <t>خطاف إنقاذ معزول</t>
        </is>
      </c>
      <c r="C17" t="inlineStr">
        <is>
          <t>Z1 منصة الرفع</t>
        </is>
      </c>
      <c r="D17" t="inlineStr">
        <is>
          <t>Salisbury 24401 Insulated Rescue Hook</t>
        </is>
      </c>
      <c r="E17" t="inlineStr">
        <is>
          <t>علامة معروفة</t>
        </is>
      </c>
      <c r="F17" t="inlineStr">
        <is>
          <t>سعر منشور</t>
        </is>
      </c>
      <c r="G17" t="inlineStr">
        <is>
          <t>$548.38</t>
        </is>
      </c>
      <c r="H17" s="10" t="n">
        <v>548.38</v>
      </c>
      <c r="I17" t="n">
        <v>0</v>
      </c>
      <c r="J17" t="n">
        <v>0</v>
      </c>
      <c r="K17" t="n">
        <v>2</v>
      </c>
      <c r="L17" s="10">
        <f>H17*I17</f>
        <v/>
      </c>
      <c r="M17" s="10">
        <f>H17*J17</f>
        <v/>
      </c>
      <c r="N17" s="10">
        <f>H17*K17</f>
        <v/>
      </c>
      <c r="O17" t="inlineStr">
        <is>
          <t>Stauffer Safety · Salisbury 24401 Rescue Hook</t>
        </is>
      </c>
      <c r="P17" s="6" t="inlineStr">
        <is>
          <t>https://www.stauffersafety.com/Brands/salisbury/Catalog/electrical-safety/accessories/salisbury-24401-es-insulated-rescue-hook-654968</t>
        </is>
      </c>
    </row>
    <row r="18">
      <c r="A18" t="inlineStr">
        <is>
          <t>الحماية الشخصية والسلامة من الجهد العالي</t>
        </is>
      </c>
      <c r="B18" t="inlineStr">
        <is>
          <t>سجادة أرضية عازلة فئة 0</t>
        </is>
      </c>
      <c r="C18" t="inlineStr">
        <is>
          <t>Z3 غرفة تجميع البطاريات</t>
        </is>
      </c>
      <c r="D18" t="inlineStr">
        <is>
          <t>سجادة مطاطية صينية فئة 0</t>
        </is>
      </c>
      <c r="E18" t="inlineStr">
        <is>
          <t>اقتصادي</t>
        </is>
      </c>
      <c r="F18" t="inlineStr">
        <is>
          <t>تقدير</t>
        </is>
      </c>
      <c r="H18" s="10" t="n">
        <v>90</v>
      </c>
      <c r="I18" t="n">
        <v>1</v>
      </c>
      <c r="J18" t="n">
        <v>0</v>
      </c>
      <c r="K18" t="n">
        <v>0</v>
      </c>
      <c r="L18" s="10">
        <f>H18*I18</f>
        <v/>
      </c>
      <c r="M18" s="10">
        <f>H18*J18</f>
        <v/>
      </c>
      <c r="N18" s="10">
        <f>H18*K18</f>
        <v/>
      </c>
      <c r="O18" t="inlineStr">
        <is>
          <t>تقدير</t>
        </is>
      </c>
    </row>
    <row r="19">
      <c r="A19" t="inlineStr">
        <is>
          <t>الحماية الشخصية والسلامة من الجهد العالي</t>
        </is>
      </c>
      <c r="B19" t="inlineStr">
        <is>
          <t>سجادة أرضية عازلة فئة 0</t>
        </is>
      </c>
      <c r="C19" t="inlineStr">
        <is>
          <t>Z3 غرفة تجميع البطاريات</t>
        </is>
      </c>
      <c r="D19" t="inlineStr">
        <is>
          <t>RS PRO 0830152 · 1 × 3 م</t>
        </is>
      </c>
      <c r="E19" t="inlineStr">
        <is>
          <t>علامة معروفة</t>
        </is>
      </c>
      <c r="F19" t="inlineStr">
        <is>
          <t>سعر منشور</t>
        </is>
      </c>
      <c r="G19" t="inlineStr">
        <is>
          <t>£236.13 دون الضريبة</t>
        </is>
      </c>
      <c r="H19" s="10" t="n">
        <v>306.97</v>
      </c>
      <c r="I19" t="n">
        <v>0</v>
      </c>
      <c r="J19" t="n">
        <v>1</v>
      </c>
      <c r="K19" t="n">
        <v>2</v>
      </c>
      <c r="L19" s="10">
        <f>H19*I19</f>
        <v/>
      </c>
      <c r="M19" s="10">
        <f>H19*J19</f>
        <v/>
      </c>
      <c r="N19" s="10">
        <f>H19*K19</f>
        <v/>
      </c>
      <c r="O19" t="inlineStr">
        <is>
          <t>RS Components · RS PRO 0830152 Class 0 Mat 1 × 3 m</t>
        </is>
      </c>
      <c r="P19" s="6" t="inlineStr">
        <is>
          <t>https://uk.rs-online.com/web/p/electrical-safety-mats/0830152</t>
        </is>
      </c>
    </row>
    <row r="20">
      <c r="A20" t="inlineStr">
        <is>
          <t>الحماية الشخصية والسلامة من الجهد العالي</t>
        </is>
      </c>
      <c r="B20" t="inlineStr">
        <is>
          <t>واقي وجه ضد القوس الكهربائي ونظارات وحذاء سلامة</t>
        </is>
      </c>
      <c r="C20" t="inlineStr">
        <is>
          <t>Z7 محطة الحماية</t>
        </is>
      </c>
      <c r="D20" t="inlineStr">
        <is>
          <t>طقم صيني لفني واحد</t>
        </is>
      </c>
      <c r="E20" t="inlineStr">
        <is>
          <t>اقتصادي</t>
        </is>
      </c>
      <c r="F20" t="inlineStr">
        <is>
          <t>تقدير</t>
        </is>
      </c>
      <c r="H20" s="10" t="n">
        <v>120</v>
      </c>
      <c r="I20" t="n">
        <v>2</v>
      </c>
      <c r="J20" t="n">
        <v>2</v>
      </c>
      <c r="K20" t="n">
        <v>0</v>
      </c>
      <c r="L20" s="10">
        <f>H20*I20</f>
        <v/>
      </c>
      <c r="M20" s="10">
        <f>H20*J20</f>
        <v/>
      </c>
      <c r="N20" s="10">
        <f>H20*K20</f>
        <v/>
      </c>
      <c r="O20" t="inlineStr">
        <is>
          <t>تقدير</t>
        </is>
      </c>
    </row>
    <row r="21">
      <c r="A21" t="inlineStr">
        <is>
          <t>الحماية الشخصية والسلامة من الجهد العالي</t>
        </is>
      </c>
      <c r="B21" t="inlineStr">
        <is>
          <t>واقي وجه ضد القوس الكهربائي ونظارات وحذاء سلامة</t>
        </is>
      </c>
      <c r="C21" t="inlineStr">
        <is>
          <t>Z7 محطة الحماية</t>
        </is>
      </c>
      <c r="D21" t="inlineStr">
        <is>
          <t>طقم بعلامات معروفة لفني واحد</t>
        </is>
      </c>
      <c r="E21" t="inlineStr">
        <is>
          <t>علامة معروفة</t>
        </is>
      </c>
      <c r="F21" t="inlineStr">
        <is>
          <t>تقدير</t>
        </is>
      </c>
      <c r="H21" s="10" t="n">
        <v>450</v>
      </c>
      <c r="I21" t="n">
        <v>0</v>
      </c>
      <c r="J21" t="n">
        <v>0</v>
      </c>
      <c r="K21" t="n">
        <v>3</v>
      </c>
      <c r="L21" s="10">
        <f>H21*I21</f>
        <v/>
      </c>
      <c r="M21" s="10">
        <f>H21*J21</f>
        <v/>
      </c>
      <c r="N21" s="10">
        <f>H21*K21</f>
        <v/>
      </c>
      <c r="O21" t="inlineStr">
        <is>
          <t>تقدير</t>
        </is>
      </c>
    </row>
    <row r="22">
      <c r="A22" t="inlineStr">
        <is>
          <t>الحماية الشخصية والسلامة من الجهد العالي</t>
        </is>
      </c>
      <c r="B22" t="inlineStr">
        <is>
          <t>طقم العزل والتعليم LOTO وحواجز الجهد العالي</t>
        </is>
      </c>
      <c r="C22" t="inlineStr">
        <is>
          <t>Z7 محطة الحماية</t>
        </is>
      </c>
      <c r="D22" t="inlineStr">
        <is>
          <t>طقم LOTO مع حواجز ولافتات</t>
        </is>
      </c>
      <c r="E22" t="inlineStr">
        <is>
          <t>اقتصادي</t>
        </is>
      </c>
      <c r="F22" t="inlineStr">
        <is>
          <t>تقدير</t>
        </is>
      </c>
      <c r="H22" s="10" t="n">
        <v>90</v>
      </c>
      <c r="I22" t="n">
        <v>1</v>
      </c>
      <c r="J22" t="n">
        <v>1</v>
      </c>
      <c r="K22" t="n">
        <v>2</v>
      </c>
      <c r="L22" s="10">
        <f>H22*I22</f>
        <v/>
      </c>
      <c r="M22" s="10">
        <f>H22*J22</f>
        <v/>
      </c>
      <c r="N22" s="10">
        <f>H22*K22</f>
        <v/>
      </c>
      <c r="O22" t="inlineStr">
        <is>
          <t>تقدير</t>
        </is>
      </c>
    </row>
    <row r="23">
      <c r="A23" t="inlineStr">
        <is>
          <t>الحماية الشخصية والسلامة من الجهد العالي</t>
        </is>
      </c>
      <c r="B23" t="inlineStr">
        <is>
          <t>بطانية إطفاء للمركبات 6 × 8 م</t>
        </is>
      </c>
      <c r="C23" t="inlineStr">
        <is>
          <t>Z1 منصة الرفع</t>
        </is>
      </c>
      <c r="D23" t="inlineStr">
        <is>
          <t>بطانية صينية للمركبات 6 × 8 م</t>
        </is>
      </c>
      <c r="E23" t="inlineStr">
        <is>
          <t>اقتصادي</t>
        </is>
      </c>
      <c r="F23" t="inlineStr">
        <is>
          <t>تقدير</t>
        </is>
      </c>
      <c r="H23" s="10" t="n">
        <v>450</v>
      </c>
      <c r="I23" t="n">
        <v>1</v>
      </c>
      <c r="J23" t="n">
        <v>1</v>
      </c>
      <c r="K23" t="n">
        <v>0</v>
      </c>
      <c r="L23" s="10">
        <f>H23*I23</f>
        <v/>
      </c>
      <c r="M23" s="10">
        <f>H23*J23</f>
        <v/>
      </c>
      <c r="N23" s="10">
        <f>H23*K23</f>
        <v/>
      </c>
      <c r="O23" t="inlineStr">
        <is>
          <t>تقدير</t>
        </is>
      </c>
    </row>
    <row r="24">
      <c r="A24" t="inlineStr">
        <is>
          <t>الحماية الشخصية والسلامة من الجهد العالي</t>
        </is>
      </c>
      <c r="B24" t="inlineStr">
        <is>
          <t>بطانية إطفاء للمركبات 6 × 8 م</t>
        </is>
      </c>
      <c r="C24" t="inlineStr">
        <is>
          <t>Z1 منصة الرفع</t>
        </is>
      </c>
      <c r="D24" t="inlineStr">
        <is>
          <t>Sealey EV1000 · مغطاة بالبولي يوريثان</t>
        </is>
      </c>
      <c r="E24" t="inlineStr">
        <is>
          <t>علامة معروفة</t>
        </is>
      </c>
      <c r="F24" t="inlineStr">
        <is>
          <t>سعر منشور</t>
        </is>
      </c>
      <c r="G24" t="inlineStr">
        <is>
          <t>£1,955.44 دون الضريبة</t>
        </is>
      </c>
      <c r="H24" s="10" t="n">
        <v>2542.07</v>
      </c>
      <c r="I24" t="n">
        <v>0</v>
      </c>
      <c r="J24" t="n">
        <v>0</v>
      </c>
      <c r="K24" t="n">
        <v>1</v>
      </c>
      <c r="L24" s="10">
        <f>H24*I24</f>
        <v/>
      </c>
      <c r="M24" s="10">
        <f>H24*J24</f>
        <v/>
      </c>
      <c r="N24" s="10">
        <f>H24*K24</f>
        <v/>
      </c>
      <c r="O24" t="inlineStr">
        <is>
          <t>Rapid Electronics · Sealey EV1000 Fire Blanket 6 × 8 m</t>
        </is>
      </c>
      <c r="P24" s="6" t="inlineStr">
        <is>
          <t>https://www.rapidonline.com/sealey-ev1000-vehicle-fire-safety-blanket-pu-coated-6-x-8m-94-5873</t>
        </is>
      </c>
    </row>
    <row r="25">
      <c r="A25" t="inlineStr">
        <is>
          <t>الحماية الشخصية والسلامة من الجهد العالي</t>
        </is>
      </c>
      <c r="B25" t="inlineStr">
        <is>
          <t>طفايات حريق ودلو رمل جاف</t>
        </is>
      </c>
      <c r="C25" t="inlineStr">
        <is>
          <t>Z3 غرفة تجميع البطاريات</t>
        </is>
      </c>
      <c r="D25" t="inlineStr">
        <is>
          <t>طقم الطفايات والرمل</t>
        </is>
      </c>
      <c r="E25" t="inlineStr">
        <is>
          <t>اقتصادي</t>
        </is>
      </c>
      <c r="F25" t="inlineStr">
        <is>
          <t>تقدير</t>
        </is>
      </c>
      <c r="H25" s="10" t="n">
        <v>180</v>
      </c>
      <c r="I25" t="n">
        <v>1</v>
      </c>
      <c r="J25" t="n">
        <v>2</v>
      </c>
      <c r="K25" t="n">
        <v>3</v>
      </c>
      <c r="L25" s="10">
        <f>H25*I25</f>
        <v/>
      </c>
      <c r="M25" s="10">
        <f>H25*J25</f>
        <v/>
      </c>
      <c r="N25" s="10">
        <f>H25*K25</f>
        <v/>
      </c>
      <c r="O25" t="inlineStr">
        <is>
          <t>تقدير</t>
        </is>
      </c>
    </row>
    <row r="26">
      <c r="A26" t="inlineStr">
        <is>
          <t>القياس والتشخيص</t>
        </is>
      </c>
      <c r="B26" t="inlineStr">
        <is>
          <t>جهاز قياس مقاومة العزل</t>
        </is>
      </c>
      <c r="C26" t="inlineStr">
        <is>
          <t>Z5 القياس والبرمجة</t>
        </is>
      </c>
      <c r="D26" t="inlineStr">
        <is>
          <t>UNI-T UT502A · 500 / 1,000 / 2,500 V</t>
        </is>
      </c>
      <c r="E26" t="inlineStr">
        <is>
          <t>اقتصادي</t>
        </is>
      </c>
      <c r="F26" t="inlineStr">
        <is>
          <t>سعر منشور</t>
        </is>
      </c>
      <c r="G26" t="inlineStr">
        <is>
          <t>€92.13 دون الضريبة</t>
        </is>
      </c>
      <c r="H26" s="10" t="n">
        <v>105.95</v>
      </c>
      <c r="I26" t="n">
        <v>1</v>
      </c>
      <c r="J26" t="n">
        <v>0</v>
      </c>
      <c r="K26" t="n">
        <v>0</v>
      </c>
      <c r="L26" s="10">
        <f>H26*I26</f>
        <v/>
      </c>
      <c r="M26" s="10">
        <f>H26*J26</f>
        <v/>
      </c>
      <c r="N26" s="10">
        <f>H26*K26</f>
        <v/>
      </c>
      <c r="O26" t="inlineStr">
        <is>
          <t>Eleshop · UNI-T UT502A</t>
        </is>
      </c>
      <c r="P26" s="6" t="inlineStr">
        <is>
          <t>https://eleshop.eu/uni-t-ut502a.html</t>
        </is>
      </c>
    </row>
    <row r="27">
      <c r="A27" t="inlineStr">
        <is>
          <t>القياس والتشخيص</t>
        </is>
      </c>
      <c r="B27" t="inlineStr">
        <is>
          <t>جهاز قياس مقاومة العزل</t>
        </is>
      </c>
      <c r="C27" t="inlineStr">
        <is>
          <t>Z5 القياس والبرمجة</t>
        </is>
      </c>
      <c r="D27" t="inlineStr">
        <is>
          <t>Fluke 1507 · 50–1,000 V</t>
        </is>
      </c>
      <c r="E27" t="inlineStr">
        <is>
          <t>علامة معروفة</t>
        </is>
      </c>
      <c r="F27" t="inlineStr">
        <is>
          <t>سعر منشور</t>
        </is>
      </c>
      <c r="G27" t="inlineStr">
        <is>
          <t>$763.59 (السعر الأصلي $919.99)</t>
        </is>
      </c>
      <c r="H27" s="10" t="n">
        <v>763.59</v>
      </c>
      <c r="I27" t="n">
        <v>0</v>
      </c>
      <c r="J27" t="n">
        <v>1</v>
      </c>
      <c r="K27" t="n">
        <v>1</v>
      </c>
      <c r="L27" s="10">
        <f>H27*I27</f>
        <v/>
      </c>
      <c r="M27" s="10">
        <f>H27*J27</f>
        <v/>
      </c>
      <c r="N27" s="10">
        <f>H27*K27</f>
        <v/>
      </c>
      <c r="O27" t="inlineStr">
        <is>
          <t>Transcat · Fluke 1507</t>
        </is>
      </c>
      <c r="P27" s="6" t="inlineStr">
        <is>
          <t>https://www.transcat.com/fluke-1507-fluke-1507</t>
        </is>
      </c>
    </row>
    <row r="28">
      <c r="A28" t="inlineStr">
        <is>
          <t>القياس والتشخيص</t>
        </is>
      </c>
      <c r="B28" t="inlineStr">
        <is>
          <t>ملتيميتر True RMS بفئة CAT III 1,000 V</t>
        </is>
      </c>
      <c r="C28" t="inlineStr">
        <is>
          <t>Z5 القياس والبرمجة</t>
        </is>
      </c>
      <c r="D28" t="inlineStr">
        <is>
          <t>UNI-T UT61E+ · CAT III 1,000 V</t>
        </is>
      </c>
      <c r="E28" t="inlineStr">
        <is>
          <t>اقتصادي</t>
        </is>
      </c>
      <c r="F28" t="inlineStr">
        <is>
          <t>سعر منشور</t>
        </is>
      </c>
      <c r="G28" t="inlineStr">
        <is>
          <t>$103.39 + $40 شحن</t>
        </is>
      </c>
      <c r="H28" s="10" t="n">
        <v>103.39</v>
      </c>
      <c r="I28" t="n">
        <v>2</v>
      </c>
      <c r="J28" t="n">
        <v>0</v>
      </c>
      <c r="K28" t="n">
        <v>0</v>
      </c>
      <c r="L28" s="10">
        <f>H28*I28</f>
        <v/>
      </c>
      <c r="M28" s="10">
        <f>H28*J28</f>
        <v/>
      </c>
      <c r="N28" s="10">
        <f>H28*K28</f>
        <v/>
      </c>
      <c r="O28" t="inlineStr">
        <is>
          <t>eBay · UNI-T UT61E+</t>
        </is>
      </c>
      <c r="P28" s="6" t="inlineStr">
        <is>
          <t>https://www.ebay.com/itm/286809229792</t>
        </is>
      </c>
    </row>
    <row r="29">
      <c r="A29" t="inlineStr">
        <is>
          <t>القياس والتشخيص</t>
        </is>
      </c>
      <c r="B29" t="inlineStr">
        <is>
          <t>ملتيميتر True RMS بفئة CAT III 1,000 V</t>
        </is>
      </c>
      <c r="C29" t="inlineStr">
        <is>
          <t>Z5 القياس والبرمجة</t>
        </is>
      </c>
      <c r="D29" t="inlineStr">
        <is>
          <t>Fluke 87V</t>
        </is>
      </c>
      <c r="E29" t="inlineStr">
        <is>
          <t>علامة معروفة</t>
        </is>
      </c>
      <c r="F29" t="inlineStr">
        <is>
          <t>سعر منشور</t>
        </is>
      </c>
      <c r="G29" t="inlineStr">
        <is>
          <t>$318.62 (عرض 06/2023)</t>
        </is>
      </c>
      <c r="H29" s="10" t="n">
        <v>318.62</v>
      </c>
      <c r="I29" t="n">
        <v>0</v>
      </c>
      <c r="J29" t="n">
        <v>2</v>
      </c>
      <c r="K29" t="n">
        <v>2</v>
      </c>
      <c r="L29" s="10">
        <f>H29*I29</f>
        <v/>
      </c>
      <c r="M29" s="10">
        <f>H29*J29</f>
        <v/>
      </c>
      <c r="N29" s="10">
        <f>H29*K29</f>
        <v/>
      </c>
      <c r="O29" t="inlineStr">
        <is>
          <t>Slickdeals · Fluke 87V (Lowe's، 06/2023)</t>
        </is>
      </c>
      <c r="P29" s="6" t="inlineStr">
        <is>
          <t>https://slickdeals.net/f/16748897-fluke-87v-electrician-s-industrial-10a-1000v-digital-multimeter-318-60-free-shipping</t>
        </is>
      </c>
    </row>
    <row r="30">
      <c r="A30" t="inlineStr">
        <is>
          <t>القياس والتشخيص</t>
        </is>
      </c>
      <c r="B30" t="inlineStr">
        <is>
          <t>ملقط تيار مستمر DC</t>
        </is>
      </c>
      <c r="C30" t="inlineStr">
        <is>
          <t>Z5 القياس والبرمجة</t>
        </is>
      </c>
      <c r="D30" t="inlineStr">
        <is>
          <t>UNI-T UT219DS · 600 A DC</t>
        </is>
      </c>
      <c r="E30" t="inlineStr">
        <is>
          <t>اقتصادي</t>
        </is>
      </c>
      <c r="F30" t="inlineStr">
        <is>
          <t>سعر منشور</t>
        </is>
      </c>
      <c r="G30" t="inlineStr">
        <is>
          <t>€103.20 دون الضريبة</t>
        </is>
      </c>
      <c r="H30" s="10" t="n">
        <v>118.68</v>
      </c>
      <c r="I30" t="n">
        <v>1</v>
      </c>
      <c r="J30" t="n">
        <v>1</v>
      </c>
      <c r="K30" t="n">
        <v>0</v>
      </c>
      <c r="L30" s="10">
        <f>H30*I30</f>
        <v/>
      </c>
      <c r="M30" s="10">
        <f>H30*J30</f>
        <v/>
      </c>
      <c r="N30" s="10">
        <f>H30*K30</f>
        <v/>
      </c>
      <c r="O30" t="inlineStr">
        <is>
          <t>Eleshop · UNI-T UT219DS</t>
        </is>
      </c>
      <c r="P30" s="6" t="inlineStr">
        <is>
          <t>https://eleshop.eu/uni-t-ut219ds-current-clamp.html</t>
        </is>
      </c>
    </row>
    <row r="31">
      <c r="A31" t="inlineStr">
        <is>
          <t>القياس والتشخيص</t>
        </is>
      </c>
      <c r="B31" t="inlineStr">
        <is>
          <t>ملقط تيار مستمر DC</t>
        </is>
      </c>
      <c r="C31" t="inlineStr">
        <is>
          <t>Z5 القياس والبرمجة</t>
        </is>
      </c>
      <c r="D31" t="inlineStr">
        <is>
          <t>Fluke 376 FC · 999.9 A DC</t>
        </is>
      </c>
      <c r="E31" t="inlineStr">
        <is>
          <t>علامة معروفة</t>
        </is>
      </c>
      <c r="F31" t="inlineStr">
        <is>
          <t>سعر منشور</t>
        </is>
      </c>
      <c r="G31" t="inlineStr">
        <is>
          <t>$831.24</t>
        </is>
      </c>
      <c r="H31" s="10" t="n">
        <v>831.24</v>
      </c>
      <c r="I31" t="n">
        <v>0</v>
      </c>
      <c r="J31" t="n">
        <v>0</v>
      </c>
      <c r="K31" t="n">
        <v>1</v>
      </c>
      <c r="L31" s="10">
        <f>H31*I31</f>
        <v/>
      </c>
      <c r="M31" s="10">
        <f>H31*J31</f>
        <v/>
      </c>
      <c r="N31" s="10">
        <f>H31*K31</f>
        <v/>
      </c>
      <c r="O31" t="inlineStr">
        <is>
          <t>Elliott Electric · Fluke 376 FC</t>
        </is>
      </c>
      <c r="P31" s="6" t="inlineStr">
        <is>
          <t>https://elliottelectric.com/P/Item/FLU/376FC/</t>
        </is>
      </c>
    </row>
    <row r="32">
      <c r="A32" t="inlineStr">
        <is>
          <t>القياس والتشخيص</t>
        </is>
      </c>
      <c r="B32" t="inlineStr">
        <is>
          <t>كاشف جهد ثنائي القطب</t>
        </is>
      </c>
      <c r="C32" t="inlineStr">
        <is>
          <t>Z5 القياس والبرمجة</t>
        </is>
      </c>
      <c r="D32" t="inlineStr">
        <is>
          <t>كاشف جهد صيني ثنائي القطب</t>
        </is>
      </c>
      <c r="E32" t="inlineStr">
        <is>
          <t>اقتصادي</t>
        </is>
      </c>
      <c r="F32" t="inlineStr">
        <is>
          <t>تقدير</t>
        </is>
      </c>
      <c r="H32" s="10" t="n">
        <v>40</v>
      </c>
      <c r="I32" t="n">
        <v>1</v>
      </c>
      <c r="J32" t="n">
        <v>0</v>
      </c>
      <c r="K32" t="n">
        <v>0</v>
      </c>
      <c r="L32" s="10">
        <f>H32*I32</f>
        <v/>
      </c>
      <c r="M32" s="10">
        <f>H32*J32</f>
        <v/>
      </c>
      <c r="N32" s="10">
        <f>H32*K32</f>
        <v/>
      </c>
      <c r="O32" t="inlineStr">
        <is>
          <t>تقدير</t>
        </is>
      </c>
    </row>
    <row r="33">
      <c r="A33" t="inlineStr">
        <is>
          <t>القياس والتشخيص</t>
        </is>
      </c>
      <c r="B33" t="inlineStr">
        <is>
          <t>كاشف جهد ثنائي القطب</t>
        </is>
      </c>
      <c r="C33" t="inlineStr">
        <is>
          <t>Z5 القياس والبرمجة</t>
        </is>
      </c>
      <c r="D33" t="inlineStr">
        <is>
          <t>كاشف بعلامة معروفة (فئة Fluke T6)</t>
        </is>
      </c>
      <c r="E33" t="inlineStr">
        <is>
          <t>علامة معروفة</t>
        </is>
      </c>
      <c r="F33" t="inlineStr">
        <is>
          <t>تقدير</t>
        </is>
      </c>
      <c r="H33" s="10" t="n">
        <v>260</v>
      </c>
      <c r="I33" t="n">
        <v>0</v>
      </c>
      <c r="J33" t="n">
        <v>1</v>
      </c>
      <c r="K33" t="n">
        <v>2</v>
      </c>
      <c r="L33" s="10">
        <f>H33*I33</f>
        <v/>
      </c>
      <c r="M33" s="10">
        <f>H33*J33</f>
        <v/>
      </c>
      <c r="N33" s="10">
        <f>H33*K33</f>
        <v/>
      </c>
      <c r="O33" t="inlineStr">
        <is>
          <t>تقدير</t>
        </is>
      </c>
    </row>
    <row r="34">
      <c r="A34" t="inlineStr">
        <is>
          <t>القياس والتشخيص</t>
        </is>
      </c>
      <c r="B34" t="inlineStr">
        <is>
          <t>محلل شبكة CAN عبر USB</t>
        </is>
      </c>
      <c r="C34" t="inlineStr">
        <is>
          <t>Z5 القياس والبرمجة</t>
        </is>
      </c>
      <c r="D34" t="inlineStr">
        <is>
          <t>MKS CANable V2.0 · CAN FD</t>
        </is>
      </c>
      <c r="E34" t="inlineStr">
        <is>
          <t>اقتصادي</t>
        </is>
      </c>
      <c r="F34" t="inlineStr">
        <is>
          <t>سعر منشور</t>
        </is>
      </c>
      <c r="G34" t="inlineStr">
        <is>
          <t>₹3,899</t>
        </is>
      </c>
      <c r="H34" s="10" t="n">
        <v>46.42</v>
      </c>
      <c r="I34" t="n">
        <v>1</v>
      </c>
      <c r="J34" t="n">
        <v>0</v>
      </c>
      <c r="K34" t="n">
        <v>0</v>
      </c>
      <c r="L34" s="10">
        <f>H34*I34</f>
        <v/>
      </c>
      <c r="M34" s="10">
        <f>H34*J34</f>
        <v/>
      </c>
      <c r="N34" s="10">
        <f>H34*K34</f>
        <v/>
      </c>
      <c r="O34" t="inlineStr">
        <is>
          <t>Probots · MKS CANable V2.0</t>
        </is>
      </c>
      <c r="P34" s="6" t="inlineStr">
        <is>
          <t>https://probots.co.in/mks-canable-v2-0-usb-to-can-analyzer-can-fd-stm32g431c8.html</t>
        </is>
      </c>
    </row>
    <row r="35">
      <c r="A35" t="inlineStr">
        <is>
          <t>القياس والتشخيص</t>
        </is>
      </c>
      <c r="B35" t="inlineStr">
        <is>
          <t>محلل شبكة CAN عبر USB</t>
        </is>
      </c>
      <c r="C35" t="inlineStr">
        <is>
          <t>Z5 القياس والبرمجة</t>
        </is>
      </c>
      <c r="D35" t="inlineStr">
        <is>
          <t>PEAK PCAN-USB معزول ضوئياً · IPEH-002022</t>
        </is>
      </c>
      <c r="E35" t="inlineStr">
        <is>
          <t>علامة معروفة</t>
        </is>
      </c>
      <c r="F35" t="inlineStr">
        <is>
          <t>سعر منشور</t>
        </is>
      </c>
      <c r="G35" t="inlineStr">
        <is>
          <t>$314</t>
        </is>
      </c>
      <c r="H35" s="10" t="n">
        <v>314</v>
      </c>
      <c r="I35" t="n">
        <v>0</v>
      </c>
      <c r="J35" t="n">
        <v>1</v>
      </c>
      <c r="K35" t="n">
        <v>1</v>
      </c>
      <c r="L35" s="10">
        <f>H35*I35</f>
        <v/>
      </c>
      <c r="M35" s="10">
        <f>H35*J35</f>
        <v/>
      </c>
      <c r="N35" s="10">
        <f>H35*K35</f>
        <v/>
      </c>
      <c r="O35" t="inlineStr">
        <is>
          <t>Grid Connect · PEAK PCAN-USB opto-decoupled IPEH-002022</t>
        </is>
      </c>
      <c r="P35" s="6" t="inlineStr">
        <is>
          <t>https://gridconnect.com/products/can-usb-adapter-pcan-usb</t>
        </is>
      </c>
    </row>
    <row r="36">
      <c r="A36" t="inlineStr">
        <is>
          <t>القياس والتشخيص</t>
        </is>
      </c>
      <c r="B36" t="inlineStr">
        <is>
          <t>كاميرا حرارية</t>
        </is>
      </c>
      <c r="C36" t="inlineStr">
        <is>
          <t>Z5 القياس والبرمجة</t>
        </is>
      </c>
      <c r="D36" t="inlineStr">
        <is>
          <t>InfiRay P2 Pro · تتصل بالهاتف</t>
        </is>
      </c>
      <c r="E36" t="inlineStr">
        <is>
          <t>اقتصادي</t>
        </is>
      </c>
      <c r="F36" t="inlineStr">
        <is>
          <t>سعر منشور</t>
        </is>
      </c>
      <c r="G36" t="inlineStr">
        <is>
          <t>$299 (السعر الأصلي)</t>
        </is>
      </c>
      <c r="H36" s="10" t="n">
        <v>299</v>
      </c>
      <c r="I36" t="n">
        <v>0</v>
      </c>
      <c r="J36" t="n">
        <v>1</v>
      </c>
      <c r="K36" t="n">
        <v>0</v>
      </c>
      <c r="L36" s="10">
        <f>H36*I36</f>
        <v/>
      </c>
      <c r="M36" s="10">
        <f>H36*J36</f>
        <v/>
      </c>
      <c r="N36" s="10">
        <f>H36*K36</f>
        <v/>
      </c>
      <c r="O36" t="inlineStr">
        <is>
          <t>Android Central · InfiRay P2 Pro</t>
        </is>
      </c>
      <c r="P36" s="6" t="inlineStr">
        <is>
          <t>https://androidcentral.com/accessories/this-usb-c-thermal-camera-lets-you-see-your-surroundings-in-a-new-light-and-its-down-to-dollar219</t>
        </is>
      </c>
    </row>
    <row r="37">
      <c r="A37" t="inlineStr">
        <is>
          <t>القياس والتشخيص</t>
        </is>
      </c>
      <c r="B37" t="inlineStr">
        <is>
          <t>كاميرا حرارية</t>
        </is>
      </c>
      <c r="C37" t="inlineStr">
        <is>
          <t>Z5 القياس والبرمجة</t>
        </is>
      </c>
      <c r="D37" t="inlineStr">
        <is>
          <t>كاميرا محمولة احترافية بعلامة معروفة</t>
        </is>
      </c>
      <c r="E37" t="inlineStr">
        <is>
          <t>علامة معروفة</t>
        </is>
      </c>
      <c r="F37" t="inlineStr">
        <is>
          <t>تقدير</t>
        </is>
      </c>
      <c r="H37" s="10" t="n">
        <v>1200</v>
      </c>
      <c r="I37" t="n">
        <v>0</v>
      </c>
      <c r="J37" t="n">
        <v>0</v>
      </c>
      <c r="K37" t="n">
        <v>1</v>
      </c>
      <c r="L37" s="10">
        <f>H37*I37</f>
        <v/>
      </c>
      <c r="M37" s="10">
        <f>H37*J37</f>
        <v/>
      </c>
      <c r="N37" s="10">
        <f>H37*K37</f>
        <v/>
      </c>
      <c r="O37" t="inlineStr">
        <is>
          <t>تقدير</t>
        </is>
      </c>
    </row>
    <row r="38">
      <c r="A38" t="inlineStr">
        <is>
          <t>تجميع كتل البطارية</t>
        </is>
      </c>
      <c r="B38" t="inlineStr">
        <is>
          <t>جهاز قياس المقاومة الداخلية للخلايا</t>
        </is>
      </c>
      <c r="C38" t="inlineStr">
        <is>
          <t>Z3 غرفة تجميع البطاريات</t>
        </is>
      </c>
      <c r="D38" t="inlineStr">
        <is>
          <t>YR1035+ · 0–100 V · 0–200 Ω</t>
        </is>
      </c>
      <c r="E38" t="inlineStr">
        <is>
          <t>اقتصادي</t>
        </is>
      </c>
      <c r="F38" t="inlineStr">
        <is>
          <t>سعر منشور</t>
        </is>
      </c>
      <c r="G38" t="inlineStr">
        <is>
          <t>$99</t>
        </is>
      </c>
      <c r="H38" s="10" t="n">
        <v>99</v>
      </c>
      <c r="I38" t="n">
        <v>1</v>
      </c>
      <c r="J38" t="n">
        <v>1</v>
      </c>
      <c r="K38" t="n">
        <v>0</v>
      </c>
      <c r="L38" s="10">
        <f>H38*I38</f>
        <v/>
      </c>
      <c r="M38" s="10">
        <f>H38*J38</f>
        <v/>
      </c>
      <c r="N38" s="10">
        <f>H38*K38</f>
        <v/>
      </c>
      <c r="O38" t="inlineStr">
        <is>
          <t>Fruugo · YR1035+ Internal Resistance Tester</t>
        </is>
      </c>
      <c r="P38" s="6" t="inlineStr">
        <is>
          <t>https://www.fruugo.ca/high-accuracy-fast-yr1035-lithium-battery-internal-resistance-test-instrument-100v-electric-vehicle-group-lithium-battery/p-420601047</t>
        </is>
      </c>
    </row>
    <row r="39">
      <c r="A39" t="inlineStr">
        <is>
          <t>تجميع كتل البطارية</t>
        </is>
      </c>
      <c r="B39" t="inlineStr">
        <is>
          <t>جهاز قياس المقاومة الداخلية للخلايا</t>
        </is>
      </c>
      <c r="C39" t="inlineStr">
        <is>
          <t>Z3 غرفة تجميع البطاريات</t>
        </is>
      </c>
      <c r="D39" t="inlineStr">
        <is>
          <t>جهاز مخبري بعلامة معروفة (فئة Hioki BT3554)</t>
        </is>
      </c>
      <c r="E39" t="inlineStr">
        <is>
          <t>علامة معروفة</t>
        </is>
      </c>
      <c r="F39" t="inlineStr">
        <is>
          <t>تقدير</t>
        </is>
      </c>
      <c r="H39" s="10" t="n">
        <v>2000</v>
      </c>
      <c r="I39" t="n">
        <v>0</v>
      </c>
      <c r="J39" t="n">
        <v>0</v>
      </c>
      <c r="K39" t="n">
        <v>1</v>
      </c>
      <c r="L39" s="10">
        <f>H39*I39</f>
        <v/>
      </c>
      <c r="M39" s="10">
        <f>H39*J39</f>
        <v/>
      </c>
      <c r="N39" s="10">
        <f>H39*K39</f>
        <v/>
      </c>
      <c r="O39" t="inlineStr">
        <is>
          <t>تقدير</t>
        </is>
      </c>
    </row>
    <row r="40">
      <c r="A40" t="inlineStr">
        <is>
          <t>تجميع كتل البطارية</t>
        </is>
      </c>
      <c r="B40" t="inlineStr">
        <is>
          <t>مزود طاقة لموازنة الخلايا</t>
        </is>
      </c>
      <c r="C40" t="inlineStr">
        <is>
          <t>Z3 غرفة تجميع البطاريات</t>
        </is>
      </c>
      <c r="D40" t="inlineStr">
        <is>
          <t>RIDEN RD6024 · 60 V / 24 A</t>
        </is>
      </c>
      <c r="E40" t="inlineStr">
        <is>
          <t>اقتصادي</t>
        </is>
      </c>
      <c r="F40" t="inlineStr">
        <is>
          <t>سعر منشور</t>
        </is>
      </c>
      <c r="G40" t="inlineStr">
        <is>
          <t>€103.61 + €31 شحن</t>
        </is>
      </c>
      <c r="H40" s="10" t="n">
        <v>119.15</v>
      </c>
      <c r="I40" t="n">
        <v>1</v>
      </c>
      <c r="J40" t="n">
        <v>2</v>
      </c>
      <c r="K40" t="n">
        <v>0</v>
      </c>
      <c r="L40" s="10">
        <f>H40*I40</f>
        <v/>
      </c>
      <c r="M40" s="10">
        <f>H40*J40</f>
        <v/>
      </c>
      <c r="N40" s="10">
        <f>H40*K40</f>
        <v/>
      </c>
      <c r="O40" t="inlineStr">
        <is>
          <t>eBay · RIDEN RD6024</t>
        </is>
      </c>
      <c r="P40" s="6" t="inlineStr">
        <is>
          <t>https://www.ebay.de/itm/156181940601</t>
        </is>
      </c>
    </row>
    <row r="41">
      <c r="A41" t="inlineStr">
        <is>
          <t>تجميع كتل البطارية</t>
        </is>
      </c>
      <c r="B41" t="inlineStr">
        <is>
          <t>مزود طاقة لموازنة الخلايا</t>
        </is>
      </c>
      <c r="C41" t="inlineStr">
        <is>
          <t>Z3 غرفة تجميع البطاريات</t>
        </is>
      </c>
      <c r="D41" t="inlineStr">
        <is>
          <t>مزود طاقة مخبري مبرمج بعلامة معروفة</t>
        </is>
      </c>
      <c r="E41" t="inlineStr">
        <is>
          <t>علامة معروفة</t>
        </is>
      </c>
      <c r="F41" t="inlineStr">
        <is>
          <t>تقدير</t>
        </is>
      </c>
      <c r="H41" s="10" t="n">
        <v>900</v>
      </c>
      <c r="I41" t="n">
        <v>0</v>
      </c>
      <c r="J41" t="n">
        <v>0</v>
      </c>
      <c r="K41" t="n">
        <v>2</v>
      </c>
      <c r="L41" s="10">
        <f>H41*I41</f>
        <v/>
      </c>
      <c r="M41" s="10">
        <f>H41*J41</f>
        <v/>
      </c>
      <c r="N41" s="10">
        <f>H41*K41</f>
        <v/>
      </c>
      <c r="O41" t="inlineStr">
        <is>
          <t>تقدير</t>
        </is>
      </c>
    </row>
    <row r="42">
      <c r="A42" t="inlineStr">
        <is>
          <t>تجميع كتل البطارية</t>
        </is>
      </c>
      <c r="B42" t="inlineStr">
        <is>
          <t>مفك عزم معزول لأطراف الخلايا</t>
        </is>
      </c>
      <c r="C42" t="inlineStr">
        <is>
          <t>Z3 غرفة تجميع البطاريات</t>
        </is>
      </c>
      <c r="D42" t="inlineStr">
        <is>
          <t>مفك عزم صيني بمقابس معزولة</t>
        </is>
      </c>
      <c r="E42" t="inlineStr">
        <is>
          <t>اقتصادي</t>
        </is>
      </c>
      <c r="F42" t="inlineStr">
        <is>
          <t>تقدير</t>
        </is>
      </c>
      <c r="H42" s="10" t="n">
        <v>35</v>
      </c>
      <c r="I42" t="n">
        <v>1</v>
      </c>
      <c r="J42" t="n">
        <v>0</v>
      </c>
      <c r="K42" t="n">
        <v>0</v>
      </c>
      <c r="L42" s="10">
        <f>H42*I42</f>
        <v/>
      </c>
      <c r="M42" s="10">
        <f>H42*J42</f>
        <v/>
      </c>
      <c r="N42" s="10">
        <f>H42*K42</f>
        <v/>
      </c>
      <c r="O42" t="inlineStr">
        <is>
          <t>تقدير</t>
        </is>
      </c>
    </row>
    <row r="43">
      <c r="A43" t="inlineStr">
        <is>
          <t>تجميع كتل البطارية</t>
        </is>
      </c>
      <c r="B43" t="inlineStr">
        <is>
          <t>مفك عزم معزول لأطراف الخلايا</t>
        </is>
      </c>
      <c r="C43" t="inlineStr">
        <is>
          <t>Z3 غرفة تجميع البطاريات</t>
        </is>
      </c>
      <c r="D43" t="inlineStr">
        <is>
          <t>مفك عزم معزول بعلامة معروفة</t>
        </is>
      </c>
      <c r="E43" t="inlineStr">
        <is>
          <t>علامة معروفة</t>
        </is>
      </c>
      <c r="F43" t="inlineStr">
        <is>
          <t>تقدير</t>
        </is>
      </c>
      <c r="H43" s="10" t="n">
        <v>220</v>
      </c>
      <c r="I43" t="n">
        <v>0</v>
      </c>
      <c r="J43" t="n">
        <v>1</v>
      </c>
      <c r="K43" t="n">
        <v>2</v>
      </c>
      <c r="L43" s="10">
        <f>H43*I43</f>
        <v/>
      </c>
      <c r="M43" s="10">
        <f>H43*J43</f>
        <v/>
      </c>
      <c r="N43" s="10">
        <f>H43*K43</f>
        <v/>
      </c>
      <c r="O43" t="inlineStr">
        <is>
          <t>تقدير</t>
        </is>
      </c>
    </row>
    <row r="44">
      <c r="A44" t="inlineStr">
        <is>
          <t>تجميع كتل البطارية</t>
        </is>
      </c>
      <c r="B44" t="inlineStr">
        <is>
          <t>طاولة تجميع بسطح عازل</t>
        </is>
      </c>
      <c r="C44" t="inlineStr">
        <is>
          <t>Z3 غرفة تجميع البطاريات</t>
        </is>
      </c>
      <c r="D44" t="inlineStr">
        <is>
          <t>طاولة ورشة مع سطح عازل</t>
        </is>
      </c>
      <c r="E44" t="inlineStr">
        <is>
          <t>اقتصادي</t>
        </is>
      </c>
      <c r="F44" t="inlineStr">
        <is>
          <t>تقدير</t>
        </is>
      </c>
      <c r="H44" s="10" t="n">
        <v>250</v>
      </c>
      <c r="I44" t="n">
        <v>1</v>
      </c>
      <c r="J44" t="n">
        <v>1</v>
      </c>
      <c r="K44" t="n">
        <v>2</v>
      </c>
      <c r="L44" s="10">
        <f>H44*I44</f>
        <v/>
      </c>
      <c r="M44" s="10">
        <f>H44*J44</f>
        <v/>
      </c>
      <c r="N44" s="10">
        <f>H44*K44</f>
        <v/>
      </c>
      <c r="O44" t="inlineStr">
        <is>
          <t>تقدير</t>
        </is>
      </c>
    </row>
    <row r="45">
      <c r="A45" t="inlineStr">
        <is>
          <t>تجميع كتل البطارية</t>
        </is>
      </c>
      <c r="B45" t="inlineStr">
        <is>
          <t>خزانة تخزين بطاريات ليثيوم مقاومة للحريق</t>
        </is>
      </c>
      <c r="C45" t="inlineStr">
        <is>
          <t>Z4 حجر الجهد العالي</t>
        </is>
      </c>
      <c r="D45" t="inlineStr">
        <is>
          <t>خزانة صينية مقاومة للحريق</t>
        </is>
      </c>
      <c r="E45" t="inlineStr">
        <is>
          <t>اقتصادي</t>
        </is>
      </c>
      <c r="F45" t="inlineStr">
        <is>
          <t>تقدير</t>
        </is>
      </c>
      <c r="H45" s="10" t="n">
        <v>900</v>
      </c>
      <c r="I45" t="n">
        <v>0</v>
      </c>
      <c r="J45" t="n">
        <v>1</v>
      </c>
      <c r="K45" t="n">
        <v>0</v>
      </c>
      <c r="L45" s="10">
        <f>H45*I45</f>
        <v/>
      </c>
      <c r="M45" s="10">
        <f>H45*J45</f>
        <v/>
      </c>
      <c r="N45" s="10">
        <f>H45*K45</f>
        <v/>
      </c>
      <c r="O45" t="inlineStr">
        <is>
          <t>تقدير</t>
        </is>
      </c>
    </row>
    <row r="46">
      <c r="A46" t="inlineStr">
        <is>
          <t>تجميع كتل البطارية</t>
        </is>
      </c>
      <c r="B46" t="inlineStr">
        <is>
          <t>خزانة تخزين بطاريات ليثيوم مقاومة للحريق</t>
        </is>
      </c>
      <c r="C46" t="inlineStr">
        <is>
          <t>Z4 حجر الجهد العالي</t>
        </is>
      </c>
      <c r="D46" t="inlineStr">
        <is>
          <t>خزانة معتمدة بعلامة معروفة</t>
        </is>
      </c>
      <c r="E46" t="inlineStr">
        <is>
          <t>علامة معروفة</t>
        </is>
      </c>
      <c r="F46" t="inlineStr">
        <is>
          <t>تقدير</t>
        </is>
      </c>
      <c r="H46" s="10" t="n">
        <v>2500</v>
      </c>
      <c r="I46" t="n">
        <v>0</v>
      </c>
      <c r="J46" t="n">
        <v>0</v>
      </c>
      <c r="K46" t="n">
        <v>1</v>
      </c>
      <c r="L46" s="10">
        <f>H46*I46</f>
        <v/>
      </c>
      <c r="M46" s="10">
        <f>H46*J46</f>
        <v/>
      </c>
      <c r="N46" s="10">
        <f>H46*K46</f>
        <v/>
      </c>
      <c r="O46" t="inlineStr">
        <is>
          <t>تقدير</t>
        </is>
      </c>
    </row>
    <row r="47">
      <c r="A47" t="inlineStr">
        <is>
          <t>تجميع كتل البطارية</t>
        </is>
      </c>
      <c r="B47" t="inlineStr">
        <is>
          <t>لحام ليزري يدوي 1,500 W</t>
        </is>
      </c>
      <c r="C47" t="inlineStr">
        <is>
          <t>Z6 التصنيع واللحام</t>
        </is>
      </c>
      <c r="D47" t="inlineStr">
        <is>
          <t>لحام صيني للبطاريات (Weifang Lijia)</t>
        </is>
      </c>
      <c r="E47" t="inlineStr">
        <is>
          <t>اقتصادي</t>
        </is>
      </c>
      <c r="F47" t="inlineStr">
        <is>
          <t>نطاق المصنع</t>
        </is>
      </c>
      <c r="G47" t="inlineStr">
        <is>
          <t>$2,600–2,650</t>
        </is>
      </c>
      <c r="H47" s="10" t="n">
        <v>2650</v>
      </c>
      <c r="I47" t="n">
        <v>0</v>
      </c>
      <c r="J47" t="n">
        <v>0</v>
      </c>
      <c r="K47" t="n">
        <v>1</v>
      </c>
      <c r="L47" s="10">
        <f>H47*I47</f>
        <v/>
      </c>
      <c r="M47" s="10">
        <f>H47*J47</f>
        <v/>
      </c>
      <c r="N47" s="10">
        <f>H47*K47</f>
        <v/>
      </c>
      <c r="O47" t="inlineStr">
        <is>
          <t>Accio (Alibaba) · لحام ليزري يدوي لبطاريات الليثيوم</t>
        </is>
      </c>
      <c r="P47" s="6" t="inlineStr">
        <is>
          <t>https://www.accio.ai/find-product/li-ion-batteri-laser-weld-machin</t>
        </is>
      </c>
    </row>
    <row r="48">
      <c r="A48" t="inlineStr">
        <is>
          <t>تجميع كتل البطارية</t>
        </is>
      </c>
      <c r="B48" t="inlineStr">
        <is>
          <t>لحام ليزري يدوي 1,500 W</t>
        </is>
      </c>
      <c r="C48" t="inlineStr">
        <is>
          <t>Z6 التصنيع واللحام</t>
        </is>
      </c>
      <c r="D48" t="inlineStr">
        <is>
          <t>SMLASER 1,500 W · مخزون في الولايات المتحدة</t>
        </is>
      </c>
      <c r="E48" t="inlineStr">
        <is>
          <t>اقتصادي</t>
        </is>
      </c>
      <c r="F48" t="inlineStr">
        <is>
          <t>سعر منشور</t>
        </is>
      </c>
      <c r="G48" t="inlineStr">
        <is>
          <t>$3,999.99</t>
        </is>
      </c>
      <c r="H48" s="10" t="n">
        <v>3999.99</v>
      </c>
      <c r="I48" t="n">
        <v>0</v>
      </c>
      <c r="J48" t="n">
        <v>0</v>
      </c>
      <c r="K48" t="n">
        <v>0</v>
      </c>
      <c r="L48" s="10">
        <f>H48*I48</f>
        <v/>
      </c>
      <c r="M48" s="10">
        <f>H48*J48</f>
        <v/>
      </c>
      <c r="N48" s="10">
        <f>H48*K48</f>
        <v/>
      </c>
      <c r="O48" t="inlineStr">
        <is>
          <t>eBay · SMLASER 1500 W Handheld Fiber Laser Welder</t>
        </is>
      </c>
      <c r="P48" s="6" t="inlineStr">
        <is>
          <t>https://www.ebay.com/itm/135129014715</t>
        </is>
      </c>
    </row>
    <row r="49">
      <c r="A49" t="inlineStr">
        <is>
          <t>التركيب والتوصيل والتصنيع</t>
        </is>
      </c>
      <c r="B49" t="inlineStr">
        <is>
          <t>مفتاح عزم 1/2 بوصة</t>
        </is>
      </c>
      <c r="C49" t="inlineStr">
        <is>
          <t>Z1 منصة الرفع</t>
        </is>
      </c>
      <c r="D49" t="inlineStr">
        <is>
          <t>TEKTON 24335 · 10–150 ft-lb</t>
        </is>
      </c>
      <c r="E49" t="inlineStr">
        <is>
          <t>علامة معروفة</t>
        </is>
      </c>
      <c r="F49" t="inlineStr">
        <is>
          <t>سعر منشور</t>
        </is>
      </c>
      <c r="G49" t="inlineStr">
        <is>
          <t>$38.79 (عرض 04/2023)</t>
        </is>
      </c>
      <c r="H49" s="10" t="n">
        <v>38.79</v>
      </c>
      <c r="I49" t="n">
        <v>1</v>
      </c>
      <c r="J49" t="n">
        <v>1</v>
      </c>
      <c r="K49" t="n">
        <v>0</v>
      </c>
      <c r="L49" s="10">
        <f>H49*I49</f>
        <v/>
      </c>
      <c r="M49" s="10">
        <f>H49*J49</f>
        <v/>
      </c>
      <c r="N49" s="10">
        <f>H49*K49</f>
        <v/>
      </c>
      <c r="O49" t="inlineStr">
        <is>
          <t>Slickdeals · TEKTON 24335 (Amazon، 04/2023)</t>
        </is>
      </c>
      <c r="P49" s="6" t="inlineStr">
        <is>
          <t>https://slickdeals.net/f/16606175-tekton-1-2-inch-drive-micrometer-torque-wrench-10-150-ft-lb-24335-38-79-38-79</t>
        </is>
      </c>
    </row>
    <row r="50">
      <c r="A50" t="inlineStr">
        <is>
          <t>التركيب والتوصيل والتصنيع</t>
        </is>
      </c>
      <c r="B50" t="inlineStr">
        <is>
          <t>مفتاح عزم 1/2 بوصة</t>
        </is>
      </c>
      <c r="C50" t="inlineStr">
        <is>
          <t>Z1 منصة الرفع</t>
        </is>
      </c>
      <c r="D50" t="inlineStr">
        <is>
          <t>Wiha 30152 معزول · 40–220 N·m</t>
        </is>
      </c>
      <c r="E50" t="inlineStr">
        <is>
          <t>علامة معروفة</t>
        </is>
      </c>
      <c r="F50" t="inlineStr">
        <is>
          <t>سعر منشور</t>
        </is>
      </c>
      <c r="G50" t="inlineStr">
        <is>
          <t>$724.98</t>
        </is>
      </c>
      <c r="H50" s="10" t="n">
        <v>724.98</v>
      </c>
      <c r="I50" t="n">
        <v>0</v>
      </c>
      <c r="J50" t="n">
        <v>0</v>
      </c>
      <c r="K50" t="n">
        <v>1</v>
      </c>
      <c r="L50" s="10">
        <f>H50*I50</f>
        <v/>
      </c>
      <c r="M50" s="10">
        <f>H50*J50</f>
        <v/>
      </c>
      <c r="N50" s="10">
        <f>H50*K50</f>
        <v/>
      </c>
      <c r="O50" t="inlineStr">
        <is>
          <t>Wiha · 30152 Insulated Torque Wrench</t>
        </is>
      </c>
      <c r="P50" s="6" t="inlineStr">
        <is>
          <t>https://www.wihatools.com/insulated-ratcheting-torque-wrench-1-2</t>
        </is>
      </c>
    </row>
    <row r="51">
      <c r="A51" t="inlineStr">
        <is>
          <t>التركيب والتوصيل والتصنيع</t>
        </is>
      </c>
      <c r="B51" t="inlineStr">
        <is>
          <t>كابسة هيدروليكية 16 طن</t>
        </is>
      </c>
      <c r="C51" t="inlineStr">
        <is>
          <t>Z5 القياس والبرمجة</t>
        </is>
      </c>
      <c r="D51" t="inlineStr">
        <is>
          <t>كابسة 16 طن · 16–300 مم²</t>
        </is>
      </c>
      <c r="E51" t="inlineStr">
        <is>
          <t>اقتصادي</t>
        </is>
      </c>
      <c r="F51" t="inlineStr">
        <is>
          <t>سعر منشور</t>
        </is>
      </c>
      <c r="G51" t="inlineStr">
        <is>
          <t>$123.08</t>
        </is>
      </c>
      <c r="H51" s="10" t="n">
        <v>123.08</v>
      </c>
      <c r="I51" t="n">
        <v>1</v>
      </c>
      <c r="J51" t="n">
        <v>1</v>
      </c>
      <c r="K51" t="n">
        <v>0</v>
      </c>
      <c r="L51" s="10">
        <f>H51*I51</f>
        <v/>
      </c>
      <c r="M51" s="10">
        <f>H51*J51</f>
        <v/>
      </c>
      <c r="N51" s="10">
        <f>H51*K51</f>
        <v/>
      </c>
      <c r="O51" t="inlineStr">
        <is>
          <t>CableOrganizer · 16 Ton Hydraulic Crimper</t>
        </is>
      </c>
      <c r="P51" s="6" t="inlineStr">
        <is>
          <t>https://www.cableorganizer.com/products/economical-16-ton-heavy-duty-hydraulic-crimping-tool</t>
        </is>
      </c>
    </row>
    <row r="52">
      <c r="A52" t="inlineStr">
        <is>
          <t>التركيب والتوصيل والتصنيع</t>
        </is>
      </c>
      <c r="B52" t="inlineStr">
        <is>
          <t>كابسة هيدروليكية 16 طن</t>
        </is>
      </c>
      <c r="C52" t="inlineStr">
        <is>
          <t>Z5 القياس والبرمجة</t>
        </is>
      </c>
      <c r="D52" t="inlineStr">
        <is>
          <t>كابسة بعلامة معروفة (فئة Klauke)</t>
        </is>
      </c>
      <c r="E52" t="inlineStr">
        <is>
          <t>علامة معروفة</t>
        </is>
      </c>
      <c r="F52" t="inlineStr">
        <is>
          <t>تقدير</t>
        </is>
      </c>
      <c r="H52" s="10" t="n">
        <v>1400</v>
      </c>
      <c r="I52" t="n">
        <v>0</v>
      </c>
      <c r="J52" t="n">
        <v>0</v>
      </c>
      <c r="K52" t="n">
        <v>1</v>
      </c>
      <c r="L52" s="10">
        <f>H52*I52</f>
        <v/>
      </c>
      <c r="M52" s="10">
        <f>H52*J52</f>
        <v/>
      </c>
      <c r="N52" s="10">
        <f>H52*K52</f>
        <v/>
      </c>
      <c r="O52" t="inlineStr">
        <is>
          <t>تقدير</t>
        </is>
      </c>
    </row>
    <row r="53">
      <c r="A53" t="inlineStr">
        <is>
          <t>التركيب والتوصيل والتصنيع</t>
        </is>
      </c>
      <c r="B53" t="inlineStr">
        <is>
          <t>مسدس حراري وأنابيب انكماش بلاصق</t>
        </is>
      </c>
      <c r="C53" t="inlineStr">
        <is>
          <t>Z5 القياس والبرمجة</t>
        </is>
      </c>
      <c r="D53" t="inlineStr">
        <is>
          <t>مسدس حراري مع تشكيلة أنابيب</t>
        </is>
      </c>
      <c r="E53" t="inlineStr">
        <is>
          <t>اقتصادي</t>
        </is>
      </c>
      <c r="F53" t="inlineStr">
        <is>
          <t>تقدير</t>
        </is>
      </c>
      <c r="H53" s="10" t="n">
        <v>45</v>
      </c>
      <c r="I53" t="n">
        <v>1</v>
      </c>
      <c r="J53" t="n">
        <v>1</v>
      </c>
      <c r="K53" t="n">
        <v>1</v>
      </c>
      <c r="L53" s="10">
        <f>H53*I53</f>
        <v/>
      </c>
      <c r="M53" s="10">
        <f>H53*J53</f>
        <v/>
      </c>
      <c r="N53" s="10">
        <f>H53*K53</f>
        <v/>
      </c>
      <c r="O53" t="inlineStr">
        <is>
          <t>تقدير</t>
        </is>
      </c>
    </row>
    <row r="54">
      <c r="A54" t="inlineStr">
        <is>
          <t>التركيب والتوصيل والتصنيع</t>
        </is>
      </c>
      <c r="B54" t="inlineStr">
        <is>
          <t>ماكينة لحام MIG/MAG</t>
        </is>
      </c>
      <c r="C54" t="inlineStr">
        <is>
          <t>Z6 التصنيع واللحام</t>
        </is>
      </c>
      <c r="D54" t="inlineStr">
        <is>
          <t>ماكينة MIG صينية 200 A</t>
        </is>
      </c>
      <c r="E54" t="inlineStr">
        <is>
          <t>اقتصادي</t>
        </is>
      </c>
      <c r="F54" t="inlineStr">
        <is>
          <t>تقدير</t>
        </is>
      </c>
      <c r="H54" s="10" t="n">
        <v>350</v>
      </c>
      <c r="I54" t="n">
        <v>1</v>
      </c>
      <c r="J54" t="n">
        <v>1</v>
      </c>
      <c r="K54" t="n">
        <v>0</v>
      </c>
      <c r="L54" s="10">
        <f>H54*I54</f>
        <v/>
      </c>
      <c r="M54" s="10">
        <f>H54*J54</f>
        <v/>
      </c>
      <c r="N54" s="10">
        <f>H54*K54</f>
        <v/>
      </c>
      <c r="O54" t="inlineStr">
        <is>
          <t>تقدير</t>
        </is>
      </c>
    </row>
    <row r="55">
      <c r="A55" t="inlineStr">
        <is>
          <t>التركيب والتوصيل والتصنيع</t>
        </is>
      </c>
      <c r="B55" t="inlineStr">
        <is>
          <t>ماكينة لحام MIG/MAG</t>
        </is>
      </c>
      <c r="C55" t="inlineStr">
        <is>
          <t>Z6 التصنيع واللحام</t>
        </is>
      </c>
      <c r="D55" t="inlineStr">
        <is>
          <t>ماكينة MIG بعلامة معروفة</t>
        </is>
      </c>
      <c r="E55" t="inlineStr">
        <is>
          <t>علامة معروفة</t>
        </is>
      </c>
      <c r="F55" t="inlineStr">
        <is>
          <t>تقدير</t>
        </is>
      </c>
      <c r="H55" s="10" t="n">
        <v>1400</v>
      </c>
      <c r="I55" t="n">
        <v>0</v>
      </c>
      <c r="J55" t="n">
        <v>0</v>
      </c>
      <c r="K55" t="n">
        <v>1</v>
      </c>
      <c r="L55" s="10">
        <f>H55*I55</f>
        <v/>
      </c>
      <c r="M55" s="10">
        <f>H55*J55</f>
        <v/>
      </c>
      <c r="N55" s="10">
        <f>H55*K55</f>
        <v/>
      </c>
      <c r="O55" t="inlineStr">
        <is>
          <t>تقدير</t>
        </is>
      </c>
    </row>
    <row r="56">
      <c r="A56" t="inlineStr">
        <is>
          <t>التركيب والتوصيل والتصنيع</t>
        </is>
      </c>
      <c r="B56" t="inlineStr">
        <is>
          <t>أدوات قطع وتشغيل المعادن</t>
        </is>
      </c>
      <c r="C56" t="inlineStr">
        <is>
          <t>Z6 التصنيع واللحام</t>
        </is>
      </c>
      <c r="D56" t="inlineStr">
        <is>
          <t>طقم أساسي</t>
        </is>
      </c>
      <c r="E56" t="inlineStr">
        <is>
          <t>اقتصادي</t>
        </is>
      </c>
      <c r="F56" t="inlineStr">
        <is>
          <t>تقدير</t>
        </is>
      </c>
      <c r="H56" s="10" t="n">
        <v>300</v>
      </c>
      <c r="I56" t="n">
        <v>1</v>
      </c>
      <c r="J56" t="n">
        <v>1</v>
      </c>
      <c r="K56" t="n">
        <v>0</v>
      </c>
      <c r="L56" s="10">
        <f>H56*I56</f>
        <v/>
      </c>
      <c r="M56" s="10">
        <f>H56*J56</f>
        <v/>
      </c>
      <c r="N56" s="10">
        <f>H56*K56</f>
        <v/>
      </c>
      <c r="O56" t="inlineStr">
        <is>
          <t>تقدير</t>
        </is>
      </c>
    </row>
    <row r="57">
      <c r="A57" t="inlineStr">
        <is>
          <t>التركيب والتوصيل والتصنيع</t>
        </is>
      </c>
      <c r="B57" t="inlineStr">
        <is>
          <t>أدوات قطع وتشغيل المعادن</t>
        </is>
      </c>
      <c r="C57" t="inlineStr">
        <is>
          <t>Z6 التصنيع واللحام</t>
        </is>
      </c>
      <c r="D57" t="inlineStr">
        <is>
          <t>طقم بعلامات معروفة</t>
        </is>
      </c>
      <c r="E57" t="inlineStr">
        <is>
          <t>علامة معروفة</t>
        </is>
      </c>
      <c r="F57" t="inlineStr">
        <is>
          <t>تقدير</t>
        </is>
      </c>
      <c r="H57" s="10" t="n">
        <v>1200</v>
      </c>
      <c r="I57" t="n">
        <v>0</v>
      </c>
      <c r="J57" t="n">
        <v>0</v>
      </c>
      <c r="K57" t="n">
        <v>1</v>
      </c>
      <c r="L57" s="10">
        <f>H57*I57</f>
        <v/>
      </c>
      <c r="M57" s="10">
        <f>H57*J57</f>
        <v/>
      </c>
      <c r="N57" s="10">
        <f>H57*K57</f>
        <v/>
      </c>
      <c r="O57" t="inlineStr">
        <is>
          <t>تقدير</t>
        </is>
      </c>
    </row>
    <row r="58"/>
    <row r="59">
      <c r="A59" s="7" t="inlineStr"/>
      <c r="B59" s="7" t="inlineStr">
        <is>
          <t>الإجمالي</t>
        </is>
      </c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11">
        <f>SUM(L2:L57)</f>
        <v/>
      </c>
      <c r="M59" s="11">
        <f>SUM(M2:M57)</f>
        <v/>
      </c>
      <c r="N59" s="11">
        <f>SUM(N2:N57)</f>
        <v/>
      </c>
      <c r="O59" s="7" t="n"/>
      <c r="P59" s="7" t="n"/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3" r:id="rId10"/>
    <hyperlink xmlns:r="http://schemas.openxmlformats.org/officeDocument/2006/relationships" ref="P15" r:id="rId11"/>
    <hyperlink xmlns:r="http://schemas.openxmlformats.org/officeDocument/2006/relationships" ref="P17" r:id="rId12"/>
    <hyperlink xmlns:r="http://schemas.openxmlformats.org/officeDocument/2006/relationships" ref="P19" r:id="rId13"/>
    <hyperlink xmlns:r="http://schemas.openxmlformats.org/officeDocument/2006/relationships" ref="P24" r:id="rId14"/>
    <hyperlink xmlns:r="http://schemas.openxmlformats.org/officeDocument/2006/relationships" ref="P26" r:id="rId15"/>
    <hyperlink xmlns:r="http://schemas.openxmlformats.org/officeDocument/2006/relationships" ref="P27" r:id="rId16"/>
    <hyperlink xmlns:r="http://schemas.openxmlformats.org/officeDocument/2006/relationships" ref="P28" r:id="rId17"/>
    <hyperlink xmlns:r="http://schemas.openxmlformats.org/officeDocument/2006/relationships" ref="P29" r:id="rId18"/>
    <hyperlink xmlns:r="http://schemas.openxmlformats.org/officeDocument/2006/relationships" ref="P30" r:id="rId19"/>
    <hyperlink xmlns:r="http://schemas.openxmlformats.org/officeDocument/2006/relationships" ref="P31" r:id="rId20"/>
    <hyperlink xmlns:r="http://schemas.openxmlformats.org/officeDocument/2006/relationships" ref="P34" r:id="rId21"/>
    <hyperlink xmlns:r="http://schemas.openxmlformats.org/officeDocument/2006/relationships" ref="P35" r:id="rId22"/>
    <hyperlink xmlns:r="http://schemas.openxmlformats.org/officeDocument/2006/relationships" ref="P36" r:id="rId23"/>
    <hyperlink xmlns:r="http://schemas.openxmlformats.org/officeDocument/2006/relationships" ref="P38" r:id="rId24"/>
    <hyperlink xmlns:r="http://schemas.openxmlformats.org/officeDocument/2006/relationships" ref="P40" r:id="rId25"/>
    <hyperlink xmlns:r="http://schemas.openxmlformats.org/officeDocument/2006/relationships" ref="P47" r:id="rId26"/>
    <hyperlink xmlns:r="http://schemas.openxmlformats.org/officeDocument/2006/relationships" ref="P48" r:id="rId27"/>
    <hyperlink xmlns:r="http://schemas.openxmlformats.org/officeDocument/2006/relationships" ref="P49" r:id="rId28"/>
    <hyperlink xmlns:r="http://schemas.openxmlformats.org/officeDocument/2006/relationships" ref="P50" r:id="rId29"/>
    <hyperlink xmlns:r="http://schemas.openxmlformats.org/officeDocument/2006/relationships" ref="P5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2026-10-25T10:58:23Z</dcterms:created>
  <dcterms:modified xmlns:dcterms="http://purl.org/dc/terms/" xmlns:xsi="http://www.w3.org/2001/XMLSchema-instance" xsi:type="dcterms:W3CDTF">2026-10-26T09:26:00Z</dcterms:modified>
</cp:coreProperties>
</file>