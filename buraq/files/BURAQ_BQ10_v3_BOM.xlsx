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الموردون" sheetId="2" state="visible" r:id="rId2"/>
    <sheet xmlns:r="http://schemas.openxmlformats.org/officeDocument/2006/relationships" name="حساب المدى" sheetId="3" state="visible" r:id="rId3"/>
    <sheet xmlns:r="http://schemas.openxmlformats.org/officeDocument/2006/relationships" name="المصاد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1F5FA8"/>
      <u val="single"/>
    </font>
    <font>
      <b val="1"/>
    </font>
    <font>
      <b val="1"/>
      <color rgb="00A9572A"/>
      <sz val="12"/>
    </font>
    <font>
      <b val="1"/>
      <color rgb="00A9572A"/>
    </font>
  </fonts>
  <fills count="4">
    <fill>
      <patternFill/>
    </fill>
    <fill>
      <patternFill patternType="gray125"/>
    </fill>
    <fill>
      <patternFill patternType="solid">
        <fgColor rgb="0014202A"/>
      </patternFill>
    </fill>
    <fill>
      <patternFill patternType="solid">
        <fgColor rgb="00F3E3D8"/>
      </patternFill>
    </fill>
  </fills>
  <borders count="2">
    <border>
      <left/>
      <right/>
      <top/>
      <bottom/>
      <diagonal/>
    </border>
    <border>
      <bottom style="thin">
        <color rgb="00C6CFD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ibaba.com/product-detail/CATL-3-7V-114Ah-Ncm-811_1601240619637.html" TargetMode="External" Id="rId1"/><Relationship Type="http://schemas.openxmlformats.org/officeDocument/2006/relationships/hyperlink" Target="https://www.alibaba.com/product-detail/CATL-3-7V-114Ah-Ncm-811_1601240619637.html" TargetMode="External" Id="rId2"/><Relationship Type="http://schemas.openxmlformats.org/officeDocument/2006/relationships/hyperlink" Target="https://www.alibaba.com/product-detail/EV-conversion-kit-without-battery-for_1601076391139.html" TargetMode="External" Id="rId3"/><Relationship Type="http://schemas.openxmlformats.org/officeDocument/2006/relationships/hyperlink" Target="https://www.evlithium.com/Battery-Management-System/4-192s-lithium-battery-bms.html" TargetMode="External" Id="rId4"/><Relationship Type="http://schemas.openxmlformats.org/officeDocument/2006/relationships/hyperlink" Target="https://ko.accio.com/plp/hfe82v250c" TargetMode="External" Id="rId5"/><Relationship Type="http://schemas.openxmlformats.org/officeDocument/2006/relationships/hyperlink" Target="https://www.accio.ai/find-product/dilong-3-3kw-obc-air-cooled-on-board-charger-for-electric-vehicle" TargetMode="External" Id="rId6"/><Relationship Type="http://schemas.openxmlformats.org/officeDocument/2006/relationships/hyperlink" Target="https://www.autoone.com.au/products/9050-daviescr-ebp23-kit-12v" TargetMode="External" Id="rId7"/><Relationship Type="http://schemas.openxmlformats.org/officeDocument/2006/relationships/hyperlink" Target="https://fidanza.com/hella-up28-vacuum-pump-audi-vw-min-qty-of-6-008570027" TargetMode="External" Id="rId8"/><Relationship Type="http://schemas.openxmlformats.org/officeDocument/2006/relationships/hyperlink" Target="https://www.accio.ai/find-product/steering-column-mobil" TargetMode="External" Id="rId9"/><Relationship Type="http://schemas.openxmlformats.org/officeDocument/2006/relationships/hyperlink" Target="https://akkudoktor.net/t/lf280ah-k-zellen-angebote-alibaba-mit-preisen/1288?page=14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libaba.com/product-detail/CATL-3-7V-114Ah-Ncm-811_1601240619637.html" TargetMode="External" Id="rId1"/><Relationship Type="http://schemas.openxmlformats.org/officeDocument/2006/relationships/hyperlink" Target="https://www.alibaba.com/product-detail/CATL-3-7V-93Ah-NMC-Prismatic_1601771817166.html" TargetMode="External" Id="rId2"/><Relationship Type="http://schemas.openxmlformats.org/officeDocument/2006/relationships/hyperlink" Target="https://www.alibaba.com/product-detail/EV-conversion-kit-without-battery-for_1601076391139.html" TargetMode="External" Id="rId3"/><Relationship Type="http://schemas.openxmlformats.org/officeDocument/2006/relationships/hyperlink" Target="https://www.alibaba.com/product-detail/60KW-30KW-PMSM-Motor-Controller-Complete_1600209602778.html" TargetMode="External" Id="rId4"/><Relationship Type="http://schemas.openxmlformats.org/officeDocument/2006/relationships/hyperlink" Target="https://www.alibaba.com/product-detail/45kw-electric-ac-motor-inverter-gearbox_1600082254078.html" TargetMode="External" Id="rId5"/><Relationship Type="http://schemas.openxmlformats.org/officeDocument/2006/relationships/hyperlink" Target="https://www.accio.ai/find-product/dilong-3-3kw-obc-air-cooled-on-board-charger-for-electric-vehicle" TargetMode="External" Id="rId6"/><Relationship Type="http://schemas.openxmlformats.org/officeDocument/2006/relationships/hyperlink" Target="https://www.bonnenbatteries.com/product/on-board-chargers-for-boats-marine-electric-vehicles-6kw-ev-charger/" TargetMode="External" Id="rId7"/><Relationship Type="http://schemas.openxmlformats.org/officeDocument/2006/relationships/hyperlink" Target="https://www.evlithium.com/Battery-Management-System/4-192s-lithium-battery-bms.html" TargetMode="External" Id="rId8"/><Relationship Type="http://schemas.openxmlformats.org/officeDocument/2006/relationships/hyperlink" Target="https://ko.accio.com/plp/hfe82v250c" TargetMode="External" Id="rId9"/><Relationship Type="http://schemas.openxmlformats.org/officeDocument/2006/relationships/hyperlink" Target="https://www.accio.ai/find-product/steering-column-mobil" TargetMode="External" Id="rId10"/><Relationship Type="http://schemas.openxmlformats.org/officeDocument/2006/relationships/hyperlink" Target="https://www.accio.ai/find-product/dilong-3-3kw-obc-air-cooled-on-board-charger-for-electric-vehicle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libaba.com/product-detail/CATL-3-7V-114Ah-Ncm-811_1601240619637.html" TargetMode="External" Id="rId1"/><Relationship Type="http://schemas.openxmlformats.org/officeDocument/2006/relationships/hyperlink" Target="https://www.alibaba.com/product-detail/CATL-3-7V-93Ah-NMC-Prismatic_1601771817166.html" TargetMode="External" Id="rId2"/><Relationship Type="http://schemas.openxmlformats.org/officeDocument/2006/relationships/hyperlink" Target="https://www.alibaba.com/product-detail/EV-conversion-kit-without-battery-for_1601076391139.html" TargetMode="External" Id="rId3"/><Relationship Type="http://schemas.openxmlformats.org/officeDocument/2006/relationships/hyperlink" Target="https://www.alibaba.com/product-detail/60KW-30KW-PMSM-Motor-Controller-Complete_1600209602778.html" TargetMode="External" Id="rId4"/><Relationship Type="http://schemas.openxmlformats.org/officeDocument/2006/relationships/hyperlink" Target="https://www.alibaba.com/product-detail/45kw-electric-ac-motor-inverter-gearbox_1600082254078.html" TargetMode="External" Id="rId5"/><Relationship Type="http://schemas.openxmlformats.org/officeDocument/2006/relationships/hyperlink" Target="https://www.accio.ai/find-product/dilong-3-3kw-obc-air-cooled-on-board-charger-for-electric-vehicle" TargetMode="External" Id="rId6"/><Relationship Type="http://schemas.openxmlformats.org/officeDocument/2006/relationships/hyperlink" Target="https://www.bonnenbatteries.com/product/on-board-chargers-for-boats-marine-electric-vehicles-6kw-ev-charger/" TargetMode="External" Id="rId7"/><Relationship Type="http://schemas.openxmlformats.org/officeDocument/2006/relationships/hyperlink" Target="https://www.evlithium.com/Battery-Management-System/4-192s-lithium-battery-bms.html" TargetMode="External" Id="rId8"/><Relationship Type="http://schemas.openxmlformats.org/officeDocument/2006/relationships/hyperlink" Target="https://ko.accio.com/plp/hfe82v250c" TargetMode="External" Id="rId9"/><Relationship Type="http://schemas.openxmlformats.org/officeDocument/2006/relationships/hyperlink" Target="https://www.accio.ai/find-product/steering-column-mobil" TargetMode="External" Id="rId10"/><Relationship Type="http://schemas.openxmlformats.org/officeDocument/2006/relationships/hyperlink" Target="https://www.accio.ai/find-product/dilong-3-3kw-obc-air-cooled-on-board-charger-for-electric-vehicle" TargetMode="External" Id="rId11"/><Relationship Type="http://schemas.openxmlformats.org/officeDocument/2006/relationships/hyperlink" Target="https://fidanza.com/hella-up28-vacuum-pump-audi-vw-min-qty-of-6-008570027" TargetMode="External" Id="rId12"/><Relationship Type="http://schemas.openxmlformats.org/officeDocument/2006/relationships/hyperlink" Target="https://www.autoone.com.au/products/9050-daviescr-ebp23-kit-12v" TargetMode="External" Id="rId13"/><Relationship Type="http://schemas.openxmlformats.org/officeDocument/2006/relationships/hyperlink" Target="https://akkudoktor.net/t/lf280ah-k-zellen-angebote-alibaba-mit-preisen/1288?page=14" TargetMode="External" Id="rId14"/><Relationship Type="http://schemas.openxmlformats.org/officeDocument/2006/relationships/hyperlink" Target="https://www.evspecifications.com/en/model/7a281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rightToLeft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40" customWidth="1" min="3" max="3"/>
    <col width="12" customWidth="1" min="4" max="4"/>
    <col width="13" customWidth="1" min="5" max="5"/>
    <col width="11" customWidth="1" min="6" max="6"/>
    <col width="13" customWidth="1" min="7" max="7"/>
    <col width="11" customWidth="1" min="8" max="8"/>
    <col width="13" customWidth="1" min="9" max="9"/>
    <col width="46" customWidth="1" min="10" max="10"/>
  </cols>
  <sheetData>
    <row r="1">
      <c r="A1" s="1" t="inlineStr">
        <is>
          <t>براق BQ-10 · الإصدار 3 · قائمة القطع بأسعار الموردين الصينيين</t>
        </is>
      </c>
    </row>
    <row r="2">
      <c r="A2" t="inlineStr">
        <is>
          <t>عدّل الخلايا الملونة (السعر والكمية) فتُحدَّث الإجماليات. عند وصول عرض السعر ضع السعر الجديد وغيّر النوع إلى «سعر منشور». التاريخ: 25/10/2026</t>
        </is>
      </c>
    </row>
    <row r="3"/>
    <row r="4">
      <c r="A4" s="2" t="inlineStr">
        <is>
          <t>الرمز</t>
        </is>
      </c>
      <c r="B4" s="2" t="inlineStr">
        <is>
          <t>القطعة</t>
        </is>
      </c>
      <c r="C4" s="2" t="inlineStr">
        <is>
          <t>ملاحظة</t>
        </is>
      </c>
      <c r="D4" s="2" t="inlineStr">
        <is>
          <t>سعر الوحدة $</t>
        </is>
      </c>
      <c r="E4" s="2" t="inlineStr">
        <is>
          <t>نوع السعر</t>
        </is>
      </c>
      <c r="F4" s="2" t="inlineStr">
        <is>
          <t>الكمية · مدى أقصى</t>
        </is>
      </c>
      <c r="G4" s="2" t="inlineStr">
        <is>
          <t>الإجمالي · مدى أقصى</t>
        </is>
      </c>
      <c r="H4" s="2" t="inlineStr">
        <is>
          <t>الكمية · متوازن</t>
        </is>
      </c>
      <c r="I4" s="2" t="inlineStr">
        <is>
          <t>الإجمالي · متوازن</t>
        </is>
      </c>
      <c r="J4" s="2" t="inlineStr">
        <is>
          <t>المورد / المصدر</t>
        </is>
      </c>
    </row>
    <row r="5">
      <c r="A5" s="3" t="inlineStr">
        <is>
          <t>M2</t>
        </is>
      </c>
      <c r="B5" s="3" t="inlineStr">
        <is>
          <t>خلية CATL NCM 3.7V 114Ah</t>
        </is>
      </c>
      <c r="C5" s="3" t="inlineStr">
        <is>
          <t>سعر شريحة 100+ ($24.90) للتكوين الأقصى، و 16–99 ($25.90) للمتوازن</t>
        </is>
      </c>
      <c r="D5" s="4" t="n">
        <v>24.9</v>
      </c>
      <c r="E5" s="3" t="inlineStr">
        <is>
          <t>سعر منشور</t>
        </is>
      </c>
      <c r="F5" s="5" t="n">
        <v>192</v>
      </c>
      <c r="G5" s="6">
        <f>D5*F5</f>
        <v/>
      </c>
      <c r="H5" s="5" t="n">
        <v>0</v>
      </c>
      <c r="I5" s="6">
        <f>D5*H5</f>
        <v/>
      </c>
      <c r="J5" s="7" t="inlineStr">
        <is>
          <t>Shenzhen Xiho Energy Technology Co., Ltd.</t>
        </is>
      </c>
    </row>
    <row r="6">
      <c r="A6" s="3" t="inlineStr">
        <is>
          <t>M2</t>
        </is>
      </c>
      <c r="B6" s="3" t="inlineStr">
        <is>
          <t>خلية CATL NCM 3.7V 114Ah</t>
        </is>
      </c>
      <c r="C6" s="3" t="inlineStr">
        <is>
          <t>شريحة 16–99 قطعة</t>
        </is>
      </c>
      <c r="D6" s="4" t="n">
        <v>25.9</v>
      </c>
      <c r="E6" s="3" t="inlineStr">
        <is>
          <t>سعر منشور</t>
        </is>
      </c>
      <c r="F6" s="5" t="n">
        <v>0</v>
      </c>
      <c r="G6" s="6">
        <f>D6*F6</f>
        <v/>
      </c>
      <c r="H6" s="5" t="n">
        <v>96</v>
      </c>
      <c r="I6" s="6">
        <f>D6*H6</f>
        <v/>
      </c>
      <c r="J6" s="7" t="inlineStr">
        <is>
          <t>Shenzhen Xiho Energy Technology Co., Ltd.</t>
        </is>
      </c>
    </row>
    <row r="7">
      <c r="A7" s="3" t="inlineStr">
        <is>
          <t>M2</t>
        </is>
      </c>
      <c r="B7" s="3" t="inlineStr">
        <is>
          <t>غلاف الوحدة 12S2P</t>
        </is>
      </c>
      <c r="C7" s="3" t="inlineStr">
        <is>
          <t>صينية ألومنيوم، ألواح طرفية، أحزمة، قضبان نحاسية، صمام</t>
        </is>
      </c>
      <c r="D7" s="4" t="n">
        <v>70</v>
      </c>
      <c r="E7" s="3" t="inlineStr">
        <is>
          <t>تقدير</t>
        </is>
      </c>
      <c r="F7" s="5" t="n">
        <v>8</v>
      </c>
      <c r="G7" s="6">
        <f>D7*F7</f>
        <v/>
      </c>
      <c r="H7" s="5" t="n">
        <v>0</v>
      </c>
      <c r="I7" s="6">
        <f>D7*H7</f>
        <v/>
      </c>
      <c r="J7" s="3" t="n"/>
    </row>
    <row r="8">
      <c r="A8" s="3" t="inlineStr">
        <is>
          <t>M2</t>
        </is>
      </c>
      <c r="B8" s="3" t="inlineStr">
        <is>
          <t>غلاف الوحدة 12S1P</t>
        </is>
      </c>
      <c r="C8" s="3" t="inlineStr"/>
      <c r="D8" s="4" t="n">
        <v>55</v>
      </c>
      <c r="E8" s="3" t="inlineStr">
        <is>
          <t>تقدير</t>
        </is>
      </c>
      <c r="F8" s="5" t="n">
        <v>0</v>
      </c>
      <c r="G8" s="6">
        <f>D8*F8</f>
        <v/>
      </c>
      <c r="H8" s="5" t="n">
        <v>8</v>
      </c>
      <c r="I8" s="6">
        <f>D8*H8</f>
        <v/>
      </c>
      <c r="J8" s="3" t="n"/>
    </row>
    <row r="9">
      <c r="A9" s="3" t="inlineStr">
        <is>
          <t>M3·M4</t>
        </is>
      </c>
      <c r="B9" s="3" t="inlineStr">
        <is>
          <t>طقم محرك PMSM 32/60 kW مع المتحكم</t>
        </is>
      </c>
      <c r="C9" s="3" t="inlineStr">
        <is>
          <t>مبرد بالسائل، المتحكم 250–450 V</t>
        </is>
      </c>
      <c r="D9" s="4" t="n">
        <v>1500</v>
      </c>
      <c r="E9" s="3" t="inlineStr">
        <is>
          <t>سعر منشور</t>
        </is>
      </c>
      <c r="F9" s="5" t="n">
        <v>1</v>
      </c>
      <c r="G9" s="6">
        <f>D9*F9</f>
        <v/>
      </c>
      <c r="H9" s="5" t="n">
        <v>1</v>
      </c>
      <c r="I9" s="6">
        <f>D9*H9</f>
        <v/>
      </c>
      <c r="J9" s="7" t="inlineStr">
        <is>
          <t>Foshan Shunde Green Motor Technology Co., Ltd.</t>
        </is>
      </c>
    </row>
    <row r="10">
      <c r="A10" s="3" t="inlineStr">
        <is>
          <t>M3</t>
        </is>
      </c>
      <c r="B10" s="3" t="inlineStr">
        <is>
          <t>صفيحة ربط بعلبة السرعات الأصلية ووصلة</t>
        </is>
      </c>
      <c r="C10" s="3" t="inlineStr">
        <is>
          <t>تشغيل محلي على CNC</t>
        </is>
      </c>
      <c r="D10" s="4" t="n">
        <v>250</v>
      </c>
      <c r="E10" s="3" t="inlineStr">
        <is>
          <t>تقدير</t>
        </is>
      </c>
      <c r="F10" s="5" t="n">
        <v>1</v>
      </c>
      <c r="G10" s="6">
        <f>D10*F10</f>
        <v/>
      </c>
      <c r="H10" s="5" t="n">
        <v>1</v>
      </c>
      <c r="I10" s="6">
        <f>D10*H10</f>
        <v/>
      </c>
      <c r="J10" s="3" t="n"/>
    </row>
    <row r="11">
      <c r="A11" s="3" t="inlineStr">
        <is>
          <t>M5</t>
        </is>
      </c>
      <c r="B11" s="3" t="inlineStr">
        <is>
          <t>نظام إدارة بطارية 96S مع CAN</t>
        </is>
      </c>
      <c r="C11" s="3" t="inlineStr">
        <is>
          <t>السعر عند الطلب، والقيمة تقدير حتى وصول العرض</t>
        </is>
      </c>
      <c r="D11" s="4" t="n">
        <v>450</v>
      </c>
      <c r="E11" s="3" t="inlineStr">
        <is>
          <t>بانتظار عرض</t>
        </is>
      </c>
      <c r="F11" s="5" t="n">
        <v>1</v>
      </c>
      <c r="G11" s="6">
        <f>D11*F11</f>
        <v/>
      </c>
      <c r="H11" s="5" t="n">
        <v>1</v>
      </c>
      <c r="I11" s="6">
        <f>D11*H11</f>
        <v/>
      </c>
      <c r="J11" s="7" t="inlineStr">
        <is>
          <t>Evlithium</t>
        </is>
      </c>
    </row>
    <row r="12">
      <c r="A12" s="3" t="inlineStr">
        <is>
          <t>M5</t>
        </is>
      </c>
      <c r="B12" s="3" t="inlineStr">
        <is>
          <t>ملامس Hongfa HFE82V-250C</t>
        </is>
      </c>
      <c r="C12" s="3" t="inlineStr">
        <is>
          <t>2 رئيسيان + احتياط (أقل طلب 5)</t>
        </is>
      </c>
      <c r="D12" s="4" t="n">
        <v>35</v>
      </c>
      <c r="E12" s="3" t="inlineStr">
        <is>
          <t>سعر منشور</t>
        </is>
      </c>
      <c r="F12" s="5" t="n">
        <v>5</v>
      </c>
      <c r="G12" s="6">
        <f>D12*F12</f>
        <v/>
      </c>
      <c r="H12" s="5" t="n">
        <v>5</v>
      </c>
      <c r="I12" s="6">
        <f>D12*H12</f>
        <v/>
      </c>
      <c r="J12" s="7" t="inlineStr">
        <is>
          <t>Shenzhen Topd Technology Co., Ltd.</t>
        </is>
      </c>
    </row>
    <row r="13">
      <c r="A13" s="3" t="inlineStr">
        <is>
          <t>M5</t>
        </is>
      </c>
      <c r="B13" s="3" t="inlineStr">
        <is>
          <t>مقاومة شحن مسبق، صمامات، MSD، حساس تيار</t>
        </is>
      </c>
      <c r="C13" s="3" t="inlineStr"/>
      <c r="D13" s="4" t="n">
        <v>180</v>
      </c>
      <c r="E13" s="3" t="inlineStr">
        <is>
          <t>تقدير</t>
        </is>
      </c>
      <c r="F13" s="5" t="n">
        <v>1</v>
      </c>
      <c r="G13" s="6">
        <f>D13*F13</f>
        <v/>
      </c>
      <c r="H13" s="5" t="n">
        <v>1</v>
      </c>
      <c r="I13" s="6">
        <f>D13*H13</f>
        <v/>
      </c>
      <c r="J13" s="3" t="n"/>
    </row>
    <row r="14">
      <c r="A14" s="3" t="inlineStr">
        <is>
          <t>M6</t>
        </is>
      </c>
      <c r="B14" s="3" t="inlineStr">
        <is>
          <t>وحدة 3 في 1: شاحن 6.6 kW + محول 2 kW</t>
        </is>
      </c>
      <c r="C14" s="3" t="inlineStr">
        <is>
          <t>مبردة بالسائل</t>
        </is>
      </c>
      <c r="D14" s="4" t="n">
        <v>989</v>
      </c>
      <c r="E14" s="3" t="inlineStr">
        <is>
          <t>سعر منشور</t>
        </is>
      </c>
      <c r="F14" s="5" t="n">
        <v>1</v>
      </c>
      <c r="G14" s="6">
        <f>D14*F14</f>
        <v/>
      </c>
      <c r="H14" s="5" t="n">
        <v>1</v>
      </c>
      <c r="I14" s="6">
        <f>D14*H14</f>
        <v/>
      </c>
      <c r="J14" s="7" t="inlineStr">
        <is>
          <t>Qingdao Greatway Technology Co., Ltd.</t>
        </is>
      </c>
    </row>
    <row r="15">
      <c r="A15" s="3" t="inlineStr">
        <is>
          <t>M6</t>
        </is>
      </c>
      <c r="B15" s="3" t="inlineStr">
        <is>
          <t>مقبس Type 2 مع لوحة إشارة التحكم</t>
        </is>
      </c>
      <c r="C15" s="3" t="inlineStr"/>
      <c r="D15" s="4" t="n">
        <v>120</v>
      </c>
      <c r="E15" s="3" t="inlineStr">
        <is>
          <t>تقدير</t>
        </is>
      </c>
      <c r="F15" s="5" t="n">
        <v>1</v>
      </c>
      <c r="G15" s="6">
        <f>D15*F15</f>
        <v/>
      </c>
      <c r="H15" s="5" t="n">
        <v>1</v>
      </c>
      <c r="I15" s="6">
        <f>D15*H15</f>
        <v/>
      </c>
      <c r="J15" s="3" t="n"/>
    </row>
    <row r="16">
      <c r="A16" s="3" t="inlineStr">
        <is>
          <t>M7</t>
        </is>
      </c>
      <c r="B16" s="3" t="inlineStr">
        <is>
          <t>مضخة Davies Craig EBP23</t>
        </is>
      </c>
      <c r="C16" s="3" t="inlineStr">
        <is>
          <t>23 L/min</t>
        </is>
      </c>
      <c r="D16" s="4" t="n">
        <v>165</v>
      </c>
      <c r="E16" s="3" t="inlineStr">
        <is>
          <t>سعر منشور</t>
        </is>
      </c>
      <c r="F16" s="5" t="n">
        <v>1</v>
      </c>
      <c r="G16" s="6">
        <f>D16*F16</f>
        <v/>
      </c>
      <c r="H16" s="5" t="n">
        <v>1</v>
      </c>
      <c r="I16" s="6">
        <f>D16*H16</f>
        <v/>
      </c>
      <c r="J16" s="7" t="inlineStr">
        <is>
          <t>AutoOne · Davies Craig EBP23</t>
        </is>
      </c>
    </row>
    <row r="17">
      <c r="A17" s="3" t="inlineStr">
        <is>
          <t>M7</t>
        </is>
      </c>
      <c r="B17" s="3" t="inlineStr">
        <is>
          <t>مشع مع مروحة كهربائية</t>
        </is>
      </c>
      <c r="C17" s="3" t="inlineStr"/>
      <c r="D17" s="4" t="n">
        <v>120</v>
      </c>
      <c r="E17" s="3" t="inlineStr">
        <is>
          <t>تقدير</t>
        </is>
      </c>
      <c r="F17" s="5" t="n">
        <v>1</v>
      </c>
      <c r="G17" s="6">
        <f>D17*F17</f>
        <v/>
      </c>
      <c r="H17" s="5" t="n">
        <v>1</v>
      </c>
      <c r="I17" s="6">
        <f>D17*H17</f>
        <v/>
      </c>
      <c r="J17" s="3" t="n"/>
    </row>
    <row r="18">
      <c r="A18" s="3" t="inlineStr">
        <is>
          <t>M8</t>
        </is>
      </c>
      <c r="B18" s="3" t="inlineStr">
        <is>
          <t>وحدة التحكم بالمركبة VCU</t>
        </is>
      </c>
      <c r="C18" s="3" t="inlineStr">
        <is>
          <t>تُحذف إن كانت ضمن طقم المحرك؛ يُسأل عنها في طلب العرض</t>
        </is>
      </c>
      <c r="D18" s="4" t="n">
        <v>250</v>
      </c>
      <c r="E18" s="3" t="inlineStr">
        <is>
          <t>تقدير</t>
        </is>
      </c>
      <c r="F18" s="5" t="n">
        <v>1</v>
      </c>
      <c r="G18" s="6">
        <f>D18*F18</f>
        <v/>
      </c>
      <c r="H18" s="5" t="n">
        <v>1</v>
      </c>
      <c r="I18" s="6">
        <f>D18*H18</f>
        <v/>
      </c>
      <c r="J18" s="3" t="n"/>
    </row>
    <row r="19">
      <c r="A19" s="3" t="inlineStr">
        <is>
          <t>M9</t>
        </is>
      </c>
      <c r="B19" s="3" t="inlineStr">
        <is>
          <t>مضخة تفريغ Hella UP28</t>
        </is>
      </c>
      <c r="C19" s="3" t="inlineStr"/>
      <c r="D19" s="4" t="n">
        <v>187.32</v>
      </c>
      <c r="E19" s="3" t="inlineStr">
        <is>
          <t>سعر منشور</t>
        </is>
      </c>
      <c r="F19" s="5" t="n">
        <v>1</v>
      </c>
      <c r="G19" s="6">
        <f>D19*F19</f>
        <v/>
      </c>
      <c r="H19" s="5" t="n">
        <v>1</v>
      </c>
      <c r="I19" s="6">
        <f>D19*H19</f>
        <v/>
      </c>
      <c r="J19" s="7" t="inlineStr">
        <is>
          <t>Fidanza · Hella UP28</t>
        </is>
      </c>
    </row>
    <row r="20">
      <c r="A20" s="3" t="inlineStr">
        <is>
          <t>M10</t>
        </is>
      </c>
      <c r="B20" s="3" t="inlineStr">
        <is>
          <t>عمود توجيه كهربائي مع وحدة التحكم</t>
        </is>
      </c>
      <c r="C20" s="3" t="inlineStr"/>
      <c r="D20" s="4" t="n">
        <v>155</v>
      </c>
      <c r="E20" s="3" t="inlineStr">
        <is>
          <t>سعر منشور</t>
        </is>
      </c>
      <c r="F20" s="5" t="n">
        <v>1</v>
      </c>
      <c r="G20" s="6">
        <f>D20*F20</f>
        <v/>
      </c>
      <c r="H20" s="5" t="n">
        <v>1</v>
      </c>
      <c r="I20" s="6">
        <f>D20*H20</f>
        <v/>
      </c>
      <c r="J20" s="7" t="inlineStr">
        <is>
          <t>Hangzhou Ace Technology Co., Ltd.</t>
        </is>
      </c>
    </row>
    <row r="21">
      <c r="A21" s="3" t="inlineStr">
        <is>
          <t>M1</t>
        </is>
      </c>
      <c r="B21" s="3" t="inlineStr">
        <is>
          <t>إطار ألومنيوم 6061 وحوامل</t>
        </is>
      </c>
      <c r="C21" s="3" t="inlineStr">
        <is>
          <t>أخف من الفولاذ بنحو 40%</t>
        </is>
      </c>
      <c r="D21" s="4" t="n">
        <v>380</v>
      </c>
      <c r="E21" s="3" t="inlineStr">
        <is>
          <t>تقدير</t>
        </is>
      </c>
      <c r="F21" s="5" t="n">
        <v>1</v>
      </c>
      <c r="G21" s="6">
        <f>D21*F21</f>
        <v/>
      </c>
      <c r="H21" s="5" t="n">
        <v>1</v>
      </c>
      <c r="I21" s="6">
        <f>D21*H21</f>
        <v/>
      </c>
      <c r="J21" s="3" t="n"/>
    </row>
    <row r="22">
      <c r="A22" s="3" t="inlineStr">
        <is>
          <t>—</t>
        </is>
      </c>
      <c r="B22" s="3" t="inlineStr">
        <is>
          <t>كابلات برتقالية 35 مم² وموصلات</t>
        </is>
      </c>
      <c r="C22" s="3" t="inlineStr"/>
      <c r="D22" s="4" t="n">
        <v>300</v>
      </c>
      <c r="E22" s="3" t="inlineStr">
        <is>
          <t>تقدير</t>
        </is>
      </c>
      <c r="F22" s="5" t="n">
        <v>1</v>
      </c>
      <c r="G22" s="6">
        <f>D22*F22</f>
        <v/>
      </c>
      <c r="H22" s="5" t="n">
        <v>1</v>
      </c>
      <c r="I22" s="6">
        <f>D22*H22</f>
        <v/>
      </c>
      <c r="J22" s="3" t="n"/>
    </row>
    <row r="23">
      <c r="A23" s="3" t="inlineStr">
        <is>
          <t>—</t>
        </is>
      </c>
      <c r="B23" s="3" t="inlineStr">
        <is>
          <t>أسلاك الجهد المنخفض والمرحلات</t>
        </is>
      </c>
      <c r="C23" s="3" t="inlineStr"/>
      <c r="D23" s="4" t="n">
        <v>150</v>
      </c>
      <c r="E23" s="3" t="inlineStr">
        <is>
          <t>تقدير</t>
        </is>
      </c>
      <c r="F23" s="5" t="n">
        <v>1</v>
      </c>
      <c r="G23" s="6">
        <f>D23*F23</f>
        <v/>
      </c>
      <c r="H23" s="5" t="n">
        <v>1</v>
      </c>
      <c r="I23" s="6">
        <f>D23*H23</f>
        <v/>
      </c>
      <c r="J23" s="3" t="n"/>
    </row>
    <row r="24">
      <c r="A24" s="3" t="inlineStr">
        <is>
          <t>شحن</t>
        </is>
      </c>
      <c r="B24" s="3" t="inlineStr">
        <is>
          <t>شحن بحري وتخليص للخلايا (بضائع خطرة فئة 9)</t>
        </is>
      </c>
      <c r="C24" s="3" t="inlineStr">
        <is>
          <t>تقدير بنحو $6 للخلية بحراً؛ الشحن الجوي أغلى بكثير</t>
        </is>
      </c>
      <c r="D24" s="4" t="n">
        <v>6</v>
      </c>
      <c r="E24" s="3" t="inlineStr">
        <is>
          <t>تقدير</t>
        </is>
      </c>
      <c r="F24" s="5" t="n">
        <v>192</v>
      </c>
      <c r="G24" s="6">
        <f>D24*F24</f>
        <v/>
      </c>
      <c r="H24" s="5" t="n">
        <v>96</v>
      </c>
      <c r="I24" s="6">
        <f>D24*H24</f>
        <v/>
      </c>
      <c r="J24" s="7" t="inlineStr">
        <is>
          <t>Akkudoktor · تكلفة شحن الخلايا DDP من Alibaba</t>
        </is>
      </c>
    </row>
    <row r="25">
      <c r="A25" s="3" t="inlineStr">
        <is>
          <t>شحن</t>
        </is>
      </c>
      <c r="B25" s="3" t="inlineStr">
        <is>
          <t>شحن بحري وتخليص لبقية القطع</t>
        </is>
      </c>
      <c r="C25" s="3" t="inlineStr"/>
      <c r="D25" s="4" t="n">
        <v>450</v>
      </c>
      <c r="E25" s="3" t="inlineStr">
        <is>
          <t>تقدير</t>
        </is>
      </c>
      <c r="F25" s="5" t="n">
        <v>1</v>
      </c>
      <c r="G25" s="6">
        <f>D25*F25</f>
        <v/>
      </c>
      <c r="H25" s="5" t="n">
        <v>1</v>
      </c>
      <c r="I25" s="6">
        <f>D25*H25</f>
        <v/>
      </c>
      <c r="J25" s="3" t="n"/>
    </row>
    <row r="26">
      <c r="B26" s="8" t="inlineStr">
        <is>
          <t>الإجمالي التقديري للقطع شاملاً الشحن البحري</t>
        </is>
      </c>
      <c r="G26" s="9">
        <f>SUM(G5:G25)</f>
        <v/>
      </c>
      <c r="I26" s="9">
        <f>SUM(I5:I25)</f>
        <v/>
      </c>
    </row>
    <row r="27">
      <c r="B27" t="inlineStr">
        <is>
          <t>منه بأسعار منشورة</t>
        </is>
      </c>
      <c r="G27" s="10">
        <f>SUMIF($E$5:$E$25,"سعر منشور",G5:G25)</f>
        <v/>
      </c>
      <c r="I27" s="10">
        <f>SUMIF($E$5:$E$25,"سعر منشور",I5:I25)</f>
        <v/>
      </c>
    </row>
    <row r="28">
      <c r="B28" t="inlineStr">
        <is>
          <t>منه بانتظار عرض سعر</t>
        </is>
      </c>
      <c r="G28" s="10">
        <f>SUMIF($E$5:$E$25,"بانتظار عرض",G5:G25)</f>
        <v/>
      </c>
      <c r="I28" s="10">
        <f>SUMIF($E$5:$E$25,"بانتظار عرض",I5:I25)</f>
        <v/>
      </c>
    </row>
    <row r="29">
      <c r="B29" t="inlineStr">
        <is>
          <t>تكلفة كل kWh من البطارية (الخلايا والأغلفة والشحن)</t>
        </is>
      </c>
      <c r="G29" s="10">
        <f>(G5+G6+G7+G8+G24)/'حساب المدى'!B14</f>
        <v/>
      </c>
      <c r="I29" s="10">
        <f>(I5+I6+I7+I8+I24)/'حساب المدى'!C14</f>
        <v/>
      </c>
    </row>
    <row r="30"/>
    <row r="31">
      <c r="A31" t="inlineStr">
        <is>
          <t>لا تشمل الأسعار الجمارك وضريبة الاستيراد في بلدك، ولا أجور التركيب والفحص والترخيص.</t>
        </is>
      </c>
    </row>
  </sheetData>
  <dataValidations count="1">
    <dataValidation sqref="E5:E25" showDropDown="0" showInputMessage="0" showErrorMessage="0" allowBlank="0" type="list">
      <formula1>"سعر منشور,تقدير,بانتظار عرض"</formula1>
    </dataValidation>
  </dataValidation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9" r:id="rId3"/>
    <hyperlink xmlns:r="http://schemas.openxmlformats.org/officeDocument/2006/relationships" ref="J11" r:id="rId4"/>
    <hyperlink xmlns:r="http://schemas.openxmlformats.org/officeDocument/2006/relationships" ref="J12" r:id="rId5"/>
    <hyperlink xmlns:r="http://schemas.openxmlformats.org/officeDocument/2006/relationships" ref="J14" r:id="rId6"/>
    <hyperlink xmlns:r="http://schemas.openxmlformats.org/officeDocument/2006/relationships" ref="J16" r:id="rId7"/>
    <hyperlink xmlns:r="http://schemas.openxmlformats.org/officeDocument/2006/relationships" ref="J19" r:id="rId8"/>
    <hyperlink xmlns:r="http://schemas.openxmlformats.org/officeDocument/2006/relationships" ref="J20" r:id="rId9"/>
    <hyperlink xmlns:r="http://schemas.openxmlformats.org/officeDocument/2006/relationships" ref="J2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6" customWidth="1" min="4" max="4"/>
    <col width="14" customWidth="1" min="5" max="5"/>
    <col width="34" customWidth="1" min="6" max="6"/>
    <col width="15" customWidth="1" min="7" max="7"/>
    <col width="13" customWidth="1" min="8" max="8"/>
    <col width="14" customWidth="1" min="9" max="9"/>
    <col width="60" customWidth="1" min="10" max="10"/>
  </cols>
  <sheetData>
    <row r="1">
      <c r="A1" s="2" t="inlineStr">
        <is>
          <t>المورد</t>
        </is>
      </c>
      <c r="B1" s="2" t="inlineStr">
        <is>
          <t>المدينة</t>
        </is>
      </c>
      <c r="C1" s="2" t="inlineStr">
        <is>
          <t>القطعة</t>
        </is>
      </c>
      <c r="D1" s="2" t="inlineStr">
        <is>
          <t>الأسعار والشروط</t>
        </is>
      </c>
      <c r="E1" s="2" t="inlineStr">
        <is>
          <t>قناة التواصل</t>
        </is>
      </c>
      <c r="F1" s="2" t="inlineStr">
        <is>
          <t>التواصل</t>
        </is>
      </c>
      <c r="G1" s="2" t="inlineStr">
        <is>
          <t>حالة طلب العرض</t>
        </is>
      </c>
      <c r="H1" s="2" t="inlineStr">
        <is>
          <t>تاريخ الإرسال</t>
        </is>
      </c>
      <c r="I1" s="2" t="inlineStr">
        <is>
          <t>السعر المعروض $</t>
        </is>
      </c>
      <c r="J1" s="2" t="inlineStr">
        <is>
          <t>الرابط</t>
        </is>
      </c>
    </row>
    <row r="2">
      <c r="A2" s="3" t="inlineStr">
        <is>
          <t>Shenzhen Xiho Energy Technology Co., Ltd.</t>
        </is>
      </c>
      <c r="B2" s="3" t="inlineStr">
        <is>
          <t>شنتشن</t>
        </is>
      </c>
      <c r="C2" s="3" t="inlineStr">
        <is>
          <t>خلايا CATL NCM 3.7V 114Ah</t>
        </is>
      </c>
      <c r="D2" s="3" t="inlineStr">
        <is>
          <t>$25.90 (16–99) · $24.90 (100–2,999) · أقل طلب 4 · 1.8 kg · 52×148×102 mm · ≥2,000 دورة · 5 سنوات على Alibaba · تقييم 4.8/5</t>
        </is>
      </c>
      <c r="E2" s="3" t="inlineStr">
        <is>
          <t>Alibaba</t>
        </is>
      </c>
      <c r="F2" s="3" t="inlineStr">
        <is>
          <t>زر Contact Supplier في صفحة المنتج</t>
        </is>
      </c>
      <c r="G2" s="5" t="inlineStr">
        <is>
          <t>جاهز للإرسال</t>
        </is>
      </c>
      <c r="H2" s="5" t="inlineStr"/>
      <c r="I2" s="5" t="inlineStr"/>
      <c r="J2" s="11" t="inlineStr">
        <is>
          <t>https://www.alibaba.com/product-detail/CATL-3-7V-114Ah-Ncm-811_1601240619637.html</t>
        </is>
      </c>
    </row>
    <row r="3">
      <c r="A3" s="3" t="inlineStr">
        <is>
          <t>Dongguan Hengfan New Energy Technology Co., Ltd.</t>
        </is>
      </c>
      <c r="B3" s="3" t="inlineStr">
        <is>
          <t>دونغقوان</t>
        </is>
      </c>
      <c r="C3" s="3" t="inlineStr">
        <is>
          <t>خلايا CATL NMC 3.7V 93Ah (بديل)</t>
        </is>
      </c>
      <c r="D3" s="3" t="inlineStr">
        <is>
          <t>$33 (1–499) · أقل طلب 1 · 1.42 kg · 85×172×42 mm</t>
        </is>
      </c>
      <c r="E3" s="3" t="inlineStr">
        <is>
          <t>Alibaba</t>
        </is>
      </c>
      <c r="F3" s="3" t="inlineStr">
        <is>
          <t>زر Contact Supplier</t>
        </is>
      </c>
      <c r="G3" s="5" t="inlineStr">
        <is>
          <t>جاهز للإرسال</t>
        </is>
      </c>
      <c r="H3" s="5" t="inlineStr"/>
      <c r="I3" s="5" t="inlineStr"/>
      <c r="J3" s="11" t="inlineStr">
        <is>
          <t>https://www.alibaba.com/product-detail/CATL-3-7V-93Ah-NMC-Prismatic_1601771817166.html</t>
        </is>
      </c>
    </row>
    <row r="4">
      <c r="A4" s="3" t="inlineStr">
        <is>
          <t>Foshan Shunde Green Motor Technology Co., Ltd.</t>
        </is>
      </c>
      <c r="B4" s="3" t="inlineStr">
        <is>
          <t>فوشان</t>
        </is>
      </c>
      <c r="C4" s="3" t="inlineStr">
        <is>
          <t>طقم محرك PMSM مبرد بالسائل 32/60 kW مع المتحكم</t>
        </is>
      </c>
      <c r="D4" s="3" t="inlineStr">
        <is>
          <t>$1,500 (1–9) · $1,300 (10+) · 320 V، المتحكم 250–450 V · 14 سنة خبرة</t>
        </is>
      </c>
      <c r="E4" s="3" t="inlineStr">
        <is>
          <t>Alibaba</t>
        </is>
      </c>
      <c r="F4" s="3" t="inlineStr">
        <is>
          <t>زر Contact Supplier</t>
        </is>
      </c>
      <c r="G4" s="5" t="inlineStr">
        <is>
          <t>جاهز للإرسال</t>
        </is>
      </c>
      <c r="H4" s="5" t="inlineStr"/>
      <c r="I4" s="5" t="inlineStr"/>
      <c r="J4" s="11" t="inlineStr">
        <is>
          <t>https://www.alibaba.com/product-detail/EV-conversion-kit-without-battery-for_1601076391139.html</t>
        </is>
      </c>
    </row>
    <row r="5">
      <c r="A5" s="3" t="inlineStr">
        <is>
          <t>Guangdong Shinegle New Energy Technologies Co., Ltd.</t>
        </is>
      </c>
      <c r="B5" s="3" t="inlineStr">
        <is>
          <t>غوانغدونغ</t>
        </is>
      </c>
      <c r="C5" s="3" t="inlineStr">
        <is>
          <t>طقم PMSM 30/60 kW (بديل)</t>
        </is>
      </c>
      <c r="D5" s="3" t="inlineStr">
        <is>
          <t>$2,600 · أقل طلب 1 · 225 N·m قصوى · 320 V</t>
        </is>
      </c>
      <c r="E5" s="3" t="inlineStr">
        <is>
          <t>Alibaba</t>
        </is>
      </c>
      <c r="F5" s="3" t="inlineStr">
        <is>
          <t>زر Contact Supplier</t>
        </is>
      </c>
      <c r="G5" s="5" t="inlineStr">
        <is>
          <t>جاهز للإرسال</t>
        </is>
      </c>
      <c r="H5" s="5" t="inlineStr"/>
      <c r="I5" s="5" t="inlineStr"/>
      <c r="J5" s="11" t="inlineStr">
        <is>
          <t>https://www.alibaba.com/product-detail/60KW-30KW-PMSM-Motor-Controller-Complete_1600209602778.html</t>
        </is>
      </c>
    </row>
    <row r="6">
      <c r="A6" s="3" t="inlineStr">
        <is>
          <t>Rawsun Technology (Shantou) Co., Ltd.</t>
        </is>
      </c>
      <c r="B6" s="3" t="inlineStr">
        <is>
          <t>شانتو</t>
        </is>
      </c>
      <c r="C6" s="3" t="inlineStr">
        <is>
          <t>محرك + عاكس + ناقل 11.93:1 متكامل 30/60 kW (بديل)</t>
        </is>
      </c>
      <c r="D6" s="3" t="inlineStr">
        <is>
          <t>$6,925 (1–49) · 220 N·m قصوى · 336 VDC</t>
        </is>
      </c>
      <c r="E6" s="3" t="inlineStr">
        <is>
          <t>Alibaba</t>
        </is>
      </c>
      <c r="F6" s="3" t="inlineStr">
        <is>
          <t>زر Contact Supplier</t>
        </is>
      </c>
      <c r="G6" s="5" t="inlineStr">
        <is>
          <t>جاهز للإرسال</t>
        </is>
      </c>
      <c r="H6" s="5" t="inlineStr"/>
      <c r="I6" s="5" t="inlineStr"/>
      <c r="J6" s="11" t="inlineStr">
        <is>
          <t>https://www.alibaba.com/product-detail/45kw-electric-ac-motor-inverter-gearbox_1600082254078.html</t>
        </is>
      </c>
    </row>
    <row r="7">
      <c r="A7" s="3" t="inlineStr">
        <is>
          <t>Qingdao Greatway Technology Co., Ltd.</t>
        </is>
      </c>
      <c r="B7" s="3" t="inlineStr">
        <is>
          <t>تشينغداو</t>
        </is>
      </c>
      <c r="C7" s="3" t="inlineStr">
        <is>
          <t>وحدة 3 في 1: شاحن 6.6 kW + محول DC-DC 2 kW مبردة بالسائل</t>
        </is>
      </c>
      <c r="D7" s="3" t="inlineStr">
        <is>
          <t>$989–1,399 · أقل طلب 1</t>
        </is>
      </c>
      <c r="E7" s="3" t="inlineStr">
        <is>
          <t>Alibaba / Accio</t>
        </is>
      </c>
      <c r="F7" s="3" t="inlineStr">
        <is>
          <t>زر Contact Supplier</t>
        </is>
      </c>
      <c r="G7" s="5" t="inlineStr">
        <is>
          <t>جاهز للإرسال</t>
        </is>
      </c>
      <c r="H7" s="5" t="inlineStr"/>
      <c r="I7" s="5" t="inlineStr"/>
      <c r="J7" s="11" t="inlineStr">
        <is>
          <t>https://www.accio.ai/find-product/dilong-3-3kw-obc-air-cooled-on-board-charger-for-electric-vehicle</t>
        </is>
      </c>
    </row>
    <row r="8">
      <c r="A8" s="3" t="inlineStr">
        <is>
          <t>Bonnen Battery (Bonnen New Energy)</t>
        </is>
      </c>
      <c r="B8" s="3" t="inlineStr">
        <is>
          <t>تشانغشا / قوانغتشو</t>
        </is>
      </c>
      <c r="C8" s="3" t="inlineStr">
        <is>
          <t>شاحن HK-LF-312-20 بقدرة 6.6 kW، خرج 110–440 V، CAN (بديل)</t>
        </is>
      </c>
      <c r="D8" s="3" t="inlineStr">
        <is>
          <t>السعر عند الطلب · IP67</t>
        </is>
      </c>
      <c r="E8" s="3" t="inlineStr">
        <is>
          <t>بريد / واتساب</t>
        </is>
      </c>
      <c r="F8" s="3" t="inlineStr">
        <is>
          <t>info@bonnenbatteries.com · واتساب +86 187 9740 1520</t>
        </is>
      </c>
      <c r="G8" s="5" t="inlineStr">
        <is>
          <t>جاهز للإرسال</t>
        </is>
      </c>
      <c r="H8" s="5" t="inlineStr"/>
      <c r="I8" s="5" t="inlineStr"/>
      <c r="J8" s="11" t="inlineStr">
        <is>
          <t>https://www.bonnenbatteries.com/product/on-board-chargers-for-boats-marine-electric-vehicles-6kw-ev-charger/</t>
        </is>
      </c>
    </row>
    <row r="9">
      <c r="A9" s="3" t="inlineStr">
        <is>
          <t>Evlithium</t>
        </is>
      </c>
      <c r="B9" s="3" t="inlineStr">
        <is>
          <t>شنتشن</t>
        </is>
      </c>
      <c r="C9" s="3" t="inlineStr">
        <is>
          <t>نظام إدارة بطارية 96S بمنفذين مع CAN</t>
        </is>
      </c>
      <c r="D9" s="3" t="inlineStr">
        <is>
          <t>حتى 1000 V · موازنة 200 mA · حساس Hall حتى 400 A · السعر عند الطلب</t>
        </is>
      </c>
      <c r="E9" s="3" t="inlineStr">
        <is>
          <t>بريد / واتساب</t>
        </is>
      </c>
      <c r="F9" s="3" t="inlineStr">
        <is>
          <t>info@evlithium.com · واتساب +86 156 0637 1958</t>
        </is>
      </c>
      <c r="G9" s="5" t="inlineStr">
        <is>
          <t>جاهز للإرسال</t>
        </is>
      </c>
      <c r="H9" s="5" t="inlineStr"/>
      <c r="I9" s="5" t="inlineStr"/>
      <c r="J9" s="11" t="inlineStr">
        <is>
          <t>https://www.evlithium.com/Battery-Management-System/4-192s-lithium-battery-bms.html</t>
        </is>
      </c>
    </row>
    <row r="10">
      <c r="A10" s="3" t="inlineStr">
        <is>
          <t>Shenzhen Topd Technology Co., Ltd.</t>
        </is>
      </c>
      <c r="B10" s="3" t="inlineStr">
        <is>
          <t>شنتشن</t>
        </is>
      </c>
      <c r="C10" s="3" t="inlineStr">
        <is>
          <t>ملامس Hongfa HFE82V-250C (250 A / 750 V)</t>
        </is>
      </c>
      <c r="D10" s="3" t="inlineStr">
        <is>
          <t>$34–36 · أقل طلب 5</t>
        </is>
      </c>
      <c r="E10" s="3" t="inlineStr">
        <is>
          <t>Alibaba / Accio</t>
        </is>
      </c>
      <c r="F10" s="3" t="inlineStr">
        <is>
          <t>زر Contact Supplier</t>
        </is>
      </c>
      <c r="G10" s="5" t="inlineStr">
        <is>
          <t>جاهز للإرسال</t>
        </is>
      </c>
      <c r="H10" s="5" t="inlineStr"/>
      <c r="I10" s="5" t="inlineStr"/>
      <c r="J10" s="11" t="inlineStr">
        <is>
          <t>https://ko.accio.com/plp/hfe82v250c</t>
        </is>
      </c>
    </row>
    <row r="11">
      <c r="A11" s="3" t="inlineStr">
        <is>
          <t>Hangzhou Ace Technology Co., Ltd.</t>
        </is>
      </c>
      <c r="B11" s="3" t="inlineStr">
        <is>
          <t>هانغتشو</t>
        </is>
      </c>
      <c r="C11" s="3" t="inlineStr">
        <is>
          <t>عمود توجيه كهربائي مع وحدة التحكم</t>
        </is>
      </c>
      <c r="D11" s="3" t="inlineStr">
        <is>
          <t>$135–155 · أقل طلب كرتونة واحدة</t>
        </is>
      </c>
      <c r="E11" s="3" t="inlineStr">
        <is>
          <t>Alibaba / Accio</t>
        </is>
      </c>
      <c r="F11" s="3" t="inlineStr">
        <is>
          <t>زر Contact Supplier</t>
        </is>
      </c>
      <c r="G11" s="5" t="inlineStr">
        <is>
          <t>جاهز للإرسال</t>
        </is>
      </c>
      <c r="H11" s="5" t="inlineStr"/>
      <c r="I11" s="5" t="inlineStr"/>
      <c r="J11" s="11" t="inlineStr">
        <is>
          <t>https://www.accio.ai/find-product/steering-column-mobil</t>
        </is>
      </c>
    </row>
    <row r="12">
      <c r="A12" s="3" t="inlineStr">
        <is>
          <t>Hunan CTS Technology Co., Ltd.</t>
        </is>
      </c>
      <c r="B12" s="3" t="inlineStr">
        <is>
          <t>تشانغشا</t>
        </is>
      </c>
      <c r="C12" s="3" t="inlineStr">
        <is>
          <t>شاحن OBC بقدرة 3.3 / 6.6 kW (بديل أرخص)</t>
        </is>
      </c>
      <c r="D12" s="3" t="inlineStr">
        <is>
          <t>$300–350 · أقل طلب 2</t>
        </is>
      </c>
      <c r="E12" s="3" t="inlineStr">
        <is>
          <t>Alibaba / Accio</t>
        </is>
      </c>
      <c r="F12" s="3" t="inlineStr">
        <is>
          <t>زر Contact Supplier</t>
        </is>
      </c>
      <c r="G12" s="5" t="inlineStr">
        <is>
          <t>جاهز للإرسال</t>
        </is>
      </c>
      <c r="H12" s="5" t="inlineStr"/>
      <c r="I12" s="5" t="inlineStr"/>
      <c r="J12" s="11" t="inlineStr">
        <is>
          <t>https://www.accio.ai/find-product/dilong-3-3kw-obc-air-cooled-on-board-charger-for-electric-vehicle</t>
        </is>
      </c>
    </row>
  </sheetData>
  <dataValidations count="1">
    <dataValidation sqref="G2:G12" showDropDown="0" showInputMessage="0" showErrorMessage="0" allowBlank="0" type="list">
      <formula1>"جاهز للإرسال,أُرسل,وصل العرض,مقبول,مرفوض"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3" customWidth="1" min="4" max="4"/>
    <col width="34" customWidth="1" min="5" max="5"/>
    <col width="12" customWidth="1" min="6" max="6"/>
  </cols>
  <sheetData>
    <row r="1">
      <c r="A1" s="8" t="inlineStr">
        <is>
          <t>نموذج المدى: القوة = ½ρ·Cd·A·v² + Crr·m·g ، ثم Wh/km = (القوة/الكفاءة + الأحمال/السرعة) ÷ 3.6 × معامل الدورة</t>
        </is>
      </c>
    </row>
    <row r="2">
      <c r="A2" t="inlineStr">
        <is>
          <t>معاملات الدورة معايَرة على نيسان ليف 2017 (30 kWh، مدى EPA 172 km). عدّل الخلايا الملونة.</t>
        </is>
      </c>
    </row>
    <row r="3">
      <c r="A3" s="2" t="inlineStr">
        <is>
          <t>المُدخل</t>
        </is>
      </c>
      <c r="B3" s="2" t="inlineStr">
        <is>
          <t>مدى أقصى</t>
        </is>
      </c>
      <c r="C3" s="2" t="inlineStr">
        <is>
          <t>متوازن</t>
        </is>
      </c>
      <c r="E3" s="12" t="inlineStr">
        <is>
          <t>مُدخل مشترك</t>
        </is>
      </c>
      <c r="F3" s="12" t="inlineStr">
        <is>
          <t>القيمة</t>
        </is>
      </c>
    </row>
    <row r="4">
      <c r="A4" t="inlineStr">
        <is>
          <t>عدد الخلايا</t>
        </is>
      </c>
      <c r="B4" s="13" t="n">
        <v>192</v>
      </c>
      <c r="C4" s="13" t="n">
        <v>96</v>
      </c>
      <c r="E4" t="inlineStr">
        <is>
          <t>وزن السيارة الأصلية kg</t>
        </is>
      </c>
      <c r="F4" s="13" t="n">
        <v>1000</v>
      </c>
    </row>
    <row r="5">
      <c r="A5" t="inlineStr">
        <is>
          <t>سعة الخلية Ah</t>
        </is>
      </c>
      <c r="B5" s="13" t="n">
        <v>114</v>
      </c>
      <c r="C5" s="13" t="n">
        <v>114</v>
      </c>
      <c r="E5" t="inlineStr">
        <is>
          <t>وزن منظومة الاحتراق المُزالة kg</t>
        </is>
      </c>
      <c r="F5" s="13" t="n">
        <v>230</v>
      </c>
    </row>
    <row r="6">
      <c r="A6" t="inlineStr">
        <is>
          <t>جهد الخلية الاسمي V</t>
        </is>
      </c>
      <c r="B6" s="13" t="n">
        <v>3.7</v>
      </c>
      <c r="C6" s="13" t="n">
        <v>3.7</v>
      </c>
      <c r="E6" t="inlineStr">
        <is>
          <t>بقية وحدات المنظومة kg</t>
        </is>
      </c>
      <c r="F6" s="13" t="n">
        <v>95</v>
      </c>
    </row>
    <row r="7">
      <c r="A7" t="inlineStr">
        <is>
          <t>وزن الخلية kg</t>
        </is>
      </c>
      <c r="B7" s="13" t="n">
        <v>1.8</v>
      </c>
      <c r="C7" s="13" t="n">
        <v>1.8</v>
      </c>
      <c r="E7" t="inlineStr">
        <is>
          <t>السائق kg</t>
        </is>
      </c>
      <c r="F7" s="13" t="n">
        <v>75</v>
      </c>
    </row>
    <row r="8">
      <c r="A8" t="inlineStr">
        <is>
          <t>وزن غلاف الوحدة kg</t>
        </is>
      </c>
      <c r="B8" s="13" t="n">
        <v>6</v>
      </c>
      <c r="C8" s="13" t="n">
        <v>5</v>
      </c>
      <c r="E8" t="inlineStr">
        <is>
          <t>معامل السحب Cd</t>
        </is>
      </c>
      <c r="F8" s="13" t="n">
        <v>0.34</v>
      </c>
    </row>
    <row r="9">
      <c r="A9" t="inlineStr">
        <is>
          <t>عدد الوحدات</t>
        </is>
      </c>
      <c r="B9" s="13" t="n">
        <v>8</v>
      </c>
      <c r="C9" s="13" t="n">
        <v>8</v>
      </c>
      <c r="E9" t="inlineStr">
        <is>
          <t>المساحة الأمامية m²</t>
        </is>
      </c>
      <c r="F9" s="13" t="n">
        <v>1.95</v>
      </c>
    </row>
    <row r="10">
      <c r="E10" t="inlineStr">
        <is>
          <t>معامل الدحرجة Crr</t>
        </is>
      </c>
      <c r="F10" s="13" t="n">
        <v>0.008</v>
      </c>
    </row>
    <row r="11">
      <c r="A11" s="8" t="inlineStr">
        <is>
          <t>النتائج</t>
        </is>
      </c>
      <c r="E11" t="inlineStr">
        <is>
          <t>كفاءة المنظومة من البطارية للعجلة</t>
        </is>
      </c>
      <c r="F11" s="13" t="n">
        <v>0.85</v>
      </c>
    </row>
    <row r="12">
      <c r="A12" s="8" t="inlineStr">
        <is>
          <t>الخلايا على التوالي (96S)</t>
        </is>
      </c>
      <c r="B12" s="14">
        <f>96</f>
        <v/>
      </c>
      <c r="C12" s="14">
        <f>96</f>
        <v/>
      </c>
      <c r="E12" t="inlineStr">
        <is>
          <t>الأحمال المساعدة W</t>
        </is>
      </c>
      <c r="F12" s="13" t="n">
        <v>400</v>
      </c>
    </row>
    <row r="13">
      <c r="A13" s="8" t="inlineStr">
        <is>
          <t>التوازي</t>
        </is>
      </c>
      <c r="B13" s="14">
        <f>B4/96</f>
        <v/>
      </c>
      <c r="C13" s="14">
        <f>C4/96</f>
        <v/>
      </c>
      <c r="E13" t="inlineStr">
        <is>
          <t>نسبة الطاقة القابلة للاستخدام</t>
        </is>
      </c>
      <c r="F13" s="13" t="n">
        <v>0.92</v>
      </c>
    </row>
    <row r="14">
      <c r="A14" s="8" t="inlineStr">
        <is>
          <t>الطاقة kWh</t>
        </is>
      </c>
      <c r="B14" s="14">
        <f>B4*B5*B6/1000</f>
        <v/>
      </c>
      <c r="C14" s="14">
        <f>C4*C5*C6/1000</f>
        <v/>
      </c>
    </row>
    <row r="15">
      <c r="A15" s="8" t="inlineStr">
        <is>
          <t>وزن البطارية kg</t>
        </is>
      </c>
      <c r="B15" s="14">
        <f>B4*B7+B9*B8</f>
        <v/>
      </c>
      <c r="C15" s="14">
        <f>C4*C7+C9*C8</f>
        <v/>
      </c>
    </row>
    <row r="16">
      <c r="A16" s="8" t="inlineStr">
        <is>
          <t>وزن السيارة بعد التحويل kg</t>
        </is>
      </c>
      <c r="B16" s="14">
        <f>$F$4-$F$5+B15+$F$6+$F$7</f>
        <v/>
      </c>
      <c r="C16" s="14">
        <f>$F$4-$F$5+C15+$F$6+$F$7</f>
        <v/>
      </c>
    </row>
    <row r="17">
      <c r="A17" s="8" t="inlineStr">
        <is>
          <t>الجهد الاسمي V</t>
        </is>
      </c>
      <c r="B17" s="14">
        <f>96*B6</f>
        <v/>
      </c>
      <c r="C17" s="14">
        <f>96*C6</f>
        <v/>
      </c>
    </row>
    <row r="18">
      <c r="A18" s="8" t="inlineStr">
        <is>
          <t>أقصى جهد V (4.2 V للخلية)</t>
        </is>
      </c>
      <c r="B18" s="14">
        <f>96*4.2</f>
        <v/>
      </c>
      <c r="C18" s="14">
        <f>96*4.2</f>
        <v/>
      </c>
    </row>
    <row r="19">
      <c r="A19" s="8" t="inlineStr">
        <is>
          <t>الدورة</t>
        </is>
      </c>
      <c r="D19" s="8" t="inlineStr">
        <is>
          <t>السرعة km/h</t>
        </is>
      </c>
      <c r="E19" s="8" t="inlineStr">
        <is>
          <t>معامل الدورة</t>
        </is>
      </c>
    </row>
    <row r="20">
      <c r="A20" t="inlineStr">
        <is>
          <t>مدينة · استهلاك Wh/km</t>
        </is>
      </c>
      <c r="B20" s="15">
        <f>((0.5*1.2*$F$8*$F$9*($D$20/3.6)^2+$F$10*B16*9.81)/$F$11+$F$12/($D$20/3.6))/3.6*$E$20</f>
        <v/>
      </c>
      <c r="C20" s="15">
        <f>((0.5*1.2*$F$8*$F$9*($D$20/3.6)^2+$F$10*C16*9.81)/$F$11+$F$12/($D$20/3.6))/3.6*$E$20</f>
        <v/>
      </c>
      <c r="D20" s="13" t="n">
        <v>40</v>
      </c>
      <c r="E20" s="13" t="n">
        <v>1.9</v>
      </c>
    </row>
    <row r="21">
      <c r="A21" s="8" t="inlineStr">
        <is>
          <t>مدينة · المدى km</t>
        </is>
      </c>
      <c r="B21" s="16">
        <f>B14*$F$13*1000/B20</f>
        <v/>
      </c>
      <c r="C21" s="16">
        <f>C14*$F$13*1000/C20</f>
        <v/>
      </c>
    </row>
    <row r="22">
      <c r="A22" t="inlineStr">
        <is>
          <t>مختلط · استهلاك Wh/km</t>
        </is>
      </c>
      <c r="B22" s="15">
        <f>((0.5*1.2*$F$8*$F$9*($D$22/3.6)^2+$F$10*B16*9.81)/$F$11+$F$12/($D$22/3.6))/3.6*$E$22</f>
        <v/>
      </c>
      <c r="C22" s="15">
        <f>((0.5*1.2*$F$8*$F$9*($D$22/3.6)^2+$F$10*C16*9.81)/$F$11+$F$12/($D$22/3.6))/3.6*$E$22</f>
        <v/>
      </c>
      <c r="D22" s="13" t="n">
        <v>70</v>
      </c>
      <c r="E22" s="13" t="n">
        <v>1.55</v>
      </c>
    </row>
    <row r="23">
      <c r="A23" s="8" t="inlineStr">
        <is>
          <t>مختلط · المدى km</t>
        </is>
      </c>
      <c r="B23" s="16">
        <f>B14*$F$13*1000/B22</f>
        <v/>
      </c>
      <c r="C23" s="16">
        <f>C14*$F$13*1000/C22</f>
        <v/>
      </c>
    </row>
    <row r="24">
      <c r="A24" t="inlineStr">
        <is>
          <t>طريق سريع · استهلاك Wh/km</t>
        </is>
      </c>
      <c r="B24" s="15">
        <f>((0.5*1.2*$F$8*$F$9*($D$24/3.6)^2+$F$10*B16*9.81)/$F$11+$F$12/($D$24/3.6))/3.6*$E$24</f>
        <v/>
      </c>
      <c r="C24" s="15">
        <f>((0.5*1.2*$F$8*$F$9*($D$24/3.6)^2+$F$10*C16*9.81)/$F$11+$F$12/($D$24/3.6))/3.6*$E$24</f>
        <v/>
      </c>
      <c r="D24" s="13" t="n">
        <v>110</v>
      </c>
      <c r="E24" s="13" t="n">
        <v>1.15</v>
      </c>
    </row>
    <row r="25">
      <c r="A25" s="8" t="inlineStr">
        <is>
          <t>طريق سريع · المدى km</t>
        </is>
      </c>
      <c r="B25" s="16">
        <f>B14*$F$13*1000/B24</f>
        <v/>
      </c>
      <c r="C25" s="16">
        <f>C14*$F$13*1000/C24</f>
        <v/>
      </c>
    </row>
    <row r="26"/>
    <row r="27">
      <c r="A27" t="inlineStr">
        <is>
          <t>تحقق: بالمعطيات نفسها ووزن ليف 1,550 kg ينتج النموذج نحو 147 Wh/km من البطارية في الدورة المختلطة، وهو ما يقابل قيمة EPA لنيسان ليف (≈ 174 Wh/km من المقبس شاملة فاقد الشحن).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selection activeCell="A1" sqref="A1"/>
    </sheetView>
  </sheetViews>
  <sheetFormatPr baseColWidth="8" defaultRowHeight="15"/>
  <cols>
    <col width="80" customWidth="1" min="1" max="1"/>
    <col width="100" customWidth="1" min="2" max="2"/>
  </cols>
  <sheetData>
    <row r="1">
      <c r="A1" t="inlineStr">
        <is>
          <t>Shenzhen Xiho Energy Technology Co., Ltd. · خلايا CATL NCM 3.7V 114Ah</t>
        </is>
      </c>
      <c r="B1" s="11" t="inlineStr">
        <is>
          <t>https://www.alibaba.com/product-detail/CATL-3-7V-114Ah-Ncm-811_1601240619637.html</t>
        </is>
      </c>
    </row>
    <row r="2">
      <c r="A2" t="inlineStr">
        <is>
          <t>Dongguan Hengfan New Energy Technology Co., Ltd. · خلايا CATL NMC 3.7V 93Ah (بديل)</t>
        </is>
      </c>
      <c r="B2" s="11" t="inlineStr">
        <is>
          <t>https://www.alibaba.com/product-detail/CATL-3-7V-93Ah-NMC-Prismatic_1601771817166.html</t>
        </is>
      </c>
    </row>
    <row r="3">
      <c r="A3" t="inlineStr">
        <is>
          <t>Foshan Shunde Green Motor Technology Co., Ltd. · طقم محرك PMSM مبرد بالسائل 32/60 kW مع المتحكم</t>
        </is>
      </c>
      <c r="B3" s="11" t="inlineStr">
        <is>
          <t>https://www.alibaba.com/product-detail/EV-conversion-kit-without-battery-for_1601076391139.html</t>
        </is>
      </c>
    </row>
    <row r="4">
      <c r="A4" t="inlineStr">
        <is>
          <t>Guangdong Shinegle New Energy Technologies Co., Ltd. · طقم PMSM 30/60 kW (بديل)</t>
        </is>
      </c>
      <c r="B4" s="11" t="inlineStr">
        <is>
          <t>https://www.alibaba.com/product-detail/60KW-30KW-PMSM-Motor-Controller-Complete_1600209602778.html</t>
        </is>
      </c>
    </row>
    <row r="5">
      <c r="A5" t="inlineStr">
        <is>
          <t>Rawsun Technology (Shantou) Co., Ltd. · محرك + عاكس + ناقل 11.93:1 متكامل 30/60 kW (بديل)</t>
        </is>
      </c>
      <c r="B5" s="11" t="inlineStr">
        <is>
          <t>https://www.alibaba.com/product-detail/45kw-electric-ac-motor-inverter-gearbox_1600082254078.html</t>
        </is>
      </c>
    </row>
    <row r="6">
      <c r="A6" t="inlineStr">
        <is>
          <t>Qingdao Greatway Technology Co., Ltd. · وحدة 3 في 1: شاحن 6.6 kW + محول DC-DC 2 kW مبردة بالسائل</t>
        </is>
      </c>
      <c r="B6" s="11" t="inlineStr">
        <is>
          <t>https://www.accio.ai/find-product/dilong-3-3kw-obc-air-cooled-on-board-charger-for-electric-vehicle</t>
        </is>
      </c>
    </row>
    <row r="7">
      <c r="A7" t="inlineStr">
        <is>
          <t>Bonnen Battery (Bonnen New Energy) · شاحن HK-LF-312-20 بقدرة 6.6 kW، خرج 110–440 V، CAN (بديل)</t>
        </is>
      </c>
      <c r="B7" s="11" t="inlineStr">
        <is>
          <t>https://www.bonnenbatteries.com/product/on-board-chargers-for-boats-marine-electric-vehicles-6kw-ev-charger/</t>
        </is>
      </c>
    </row>
    <row r="8">
      <c r="A8" t="inlineStr">
        <is>
          <t>Evlithium · نظام إدارة بطارية 96S بمنفذين مع CAN</t>
        </is>
      </c>
      <c r="B8" s="11" t="inlineStr">
        <is>
          <t>https://www.evlithium.com/Battery-Management-System/4-192s-lithium-battery-bms.html</t>
        </is>
      </c>
    </row>
    <row r="9">
      <c r="A9" t="inlineStr">
        <is>
          <t>Shenzhen Topd Technology Co., Ltd. · ملامس Hongfa HFE82V-250C (250 A / 750 V)</t>
        </is>
      </c>
      <c r="B9" s="11" t="inlineStr">
        <is>
          <t>https://ko.accio.com/plp/hfe82v250c</t>
        </is>
      </c>
    </row>
    <row r="10">
      <c r="A10" t="inlineStr">
        <is>
          <t>Hangzhou Ace Technology Co., Ltd. · عمود توجيه كهربائي مع وحدة التحكم</t>
        </is>
      </c>
      <c r="B10" s="11" t="inlineStr">
        <is>
          <t>https://www.accio.ai/find-product/steering-column-mobil</t>
        </is>
      </c>
    </row>
    <row r="11">
      <c r="A11" t="inlineStr">
        <is>
          <t>Hunan CTS Technology Co., Ltd. · شاحن OBC بقدرة 3.3 / 6.6 kW (بديل أرخص)</t>
        </is>
      </c>
      <c r="B11" s="11" t="inlineStr">
        <is>
          <t>https://www.accio.ai/find-product/dilong-3-3kw-obc-air-cooled-on-board-charger-for-electric-vehicle</t>
        </is>
      </c>
    </row>
    <row r="12">
      <c r="A12" t="inlineStr">
        <is>
          <t>Fidanza · Hella UP28</t>
        </is>
      </c>
      <c r="B12" s="11" t="inlineStr">
        <is>
          <t>https://fidanza.com/hella-up28-vacuum-pump-audi-vw-min-qty-of-6-008570027</t>
        </is>
      </c>
    </row>
    <row r="13">
      <c r="A13" t="inlineStr">
        <is>
          <t>AutoOne · Davies Craig EBP23</t>
        </is>
      </c>
      <c r="B13" s="11" t="inlineStr">
        <is>
          <t>https://www.autoone.com.au/products/9050-daviescr-ebp23-kit-12v</t>
        </is>
      </c>
    </row>
    <row r="14">
      <c r="A14" t="inlineStr">
        <is>
          <t>Akkudoktor · تكلفة شحن الخلايا DDP من Alibaba</t>
        </is>
      </c>
      <c r="B14" s="11" t="inlineStr">
        <is>
          <t>https://akkudoktor.net/t/lf280ah-k-zellen-angebote-alibaba-mit-preisen/1288?page=14</t>
        </is>
      </c>
    </row>
    <row r="15">
      <c r="A15" t="inlineStr">
        <is>
          <t>EV Specifications · Nissan Leaf 2017 (معايرة نموذج المدى)</t>
        </is>
      </c>
      <c r="B15" s="11" t="inlineStr">
        <is>
          <t>https://www.evspecifications.com/en/model/7a2813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2" r:id="rId2"/>
    <hyperlink xmlns:r="http://schemas.openxmlformats.org/officeDocument/2006/relationships" ref="B3" r:id="rId3"/>
    <hyperlink xmlns:r="http://schemas.openxmlformats.org/officeDocument/2006/relationships" ref="B4" r:id="rId4"/>
    <hyperlink xmlns:r="http://schemas.openxmlformats.org/officeDocument/2006/relationships" ref="B5" r:id="rId5"/>
    <hyperlink xmlns:r="http://schemas.openxmlformats.org/officeDocument/2006/relationships" ref="B6" r:id="rId6"/>
    <hyperlink xmlns:r="http://schemas.openxmlformats.org/officeDocument/2006/relationships" ref="B7" r:id="rId7"/>
    <hyperlink xmlns:r="http://schemas.openxmlformats.org/officeDocument/2006/relationships" ref="B8" r:id="rId8"/>
    <hyperlink xmlns:r="http://schemas.openxmlformats.org/officeDocument/2006/relationships" ref="B9" r:id="rId9"/>
    <hyperlink xmlns:r="http://schemas.openxmlformats.org/officeDocument/2006/relationships" ref="B10" r:id="rId10"/>
    <hyperlink xmlns:r="http://schemas.openxmlformats.org/officeDocument/2006/relationships" ref="B11" r:id="rId11"/>
    <hyperlink xmlns:r="http://schemas.openxmlformats.org/officeDocument/2006/relationships" ref="B12" r:id="rId12"/>
    <hyperlink xmlns:r="http://schemas.openxmlformats.org/officeDocument/2006/relationships" ref="B13" r:id="rId13"/>
    <hyperlink xmlns:r="http://schemas.openxmlformats.org/officeDocument/2006/relationships" ref="B14" r:id="rId14"/>
    <hyperlink xmlns:r="http://schemas.openxmlformats.org/officeDocument/2006/relationships" ref="B15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2026-10-25T11:08:13Z</dcterms:created>
  <dcterms:modified xmlns:dcterms="http://purl.org/dc/terms/" xmlns:xsi="http://www.w3.org/2001/XMLSchema-instance" xsi:type="dcterms:W3CDTF">2026-10-26T09:26:00Z</dcterms:modified>
</cp:coreProperties>
</file>