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افتراضات" sheetId="1" state="visible" r:id="rId1"/>
    <sheet xmlns:r="http://schemas.openxmlformats.org/officeDocument/2006/relationships" name="السيارات" sheetId="2" state="visible" r:id="rId2"/>
    <sheet xmlns:r="http://schemas.openxmlformats.org/officeDocument/2006/relationships" name="حقائب مدد" sheetId="3" state="visible" r:id="rId3"/>
    <sheet xmlns:r="http://schemas.openxmlformats.org/officeDocument/2006/relationships" name="روافع مدد" sheetId="4" state="visible" r:id="rId4"/>
    <sheet xmlns:r="http://schemas.openxmlformats.org/officeDocument/2006/relationships" name="المصاد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A9572A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6CFD4"/>
      </left>
      <right style="thin">
        <color rgb="00C6CFD4"/>
      </right>
      <top style="thin">
        <color rgb="00C6CFD4"/>
      </top>
      <bottom style="thin">
        <color rgb="00C6CF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0" pivotButton="0" quotePrefix="0" xfId="0"/>
    <xf numFmtId="3" fontId="3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0" customWidth="1" min="3" max="3"/>
  </cols>
  <sheetData>
    <row r="1">
      <c r="A1" s="1" t="inlineStr">
        <is>
          <t>منظومة مدد من براق · افتراضات السوق المصري (عدّل الخلايا الملونة)</t>
        </is>
      </c>
    </row>
    <row r="3">
      <c r="A3" s="2" t="inlineStr">
        <is>
          <t>البند</t>
        </is>
      </c>
      <c r="B3" s="2" t="inlineStr">
        <is>
          <t>القيمة</t>
        </is>
      </c>
      <c r="C3" s="2" t="inlineStr">
        <is>
          <t>ملاحظة</t>
        </is>
      </c>
    </row>
    <row r="4">
      <c r="A4" s="3" t="inlineStr">
        <is>
          <t>سعر الدولار بالجنيه</t>
        </is>
      </c>
      <c r="B4" s="4" t="n">
        <v>55.8</v>
      </c>
      <c r="C4" s="3" t="inlineStr">
        <is>
          <t>البنك المركزي 25/10/2026</t>
        </is>
      </c>
    </row>
    <row r="5">
      <c r="A5" s="3" t="inlineStr">
        <is>
          <t>بنزين 80 (ج/لتر)</t>
        </is>
      </c>
      <c r="B5" s="4" t="n">
        <v>20.75</v>
      </c>
      <c r="C5" s="3" t="inlineStr">
        <is>
          <t>22/10/2026</t>
        </is>
      </c>
    </row>
    <row r="6">
      <c r="A6" s="3" t="inlineStr">
        <is>
          <t>بنزين 92 (ج/لتر)</t>
        </is>
      </c>
      <c r="B6" s="4" t="n">
        <v>22.25</v>
      </c>
      <c r="C6" s="3" t="inlineStr">
        <is>
          <t>22/10/2026</t>
        </is>
      </c>
    </row>
    <row r="7">
      <c r="A7" s="3" t="inlineStr">
        <is>
          <t>بنزين 95 (ج/لتر)</t>
        </is>
      </c>
      <c r="B7" s="4" t="n">
        <v>24</v>
      </c>
      <c r="C7" s="3" t="inlineStr">
        <is>
          <t>22/10/2026</t>
        </is>
      </c>
    </row>
    <row r="8">
      <c r="A8" s="3" t="inlineStr">
        <is>
          <t>سعر الكهرباء المنزلية (ج/ك.و.س)</t>
        </is>
      </c>
      <c r="B8" s="4" t="n">
        <v>1.95</v>
      </c>
      <c r="C8" s="3" t="inlineStr">
        <is>
          <t>الشريحة الخامسة 351–650</t>
        </is>
      </c>
    </row>
    <row r="9">
      <c r="A9" s="3" t="inlineStr">
        <is>
          <t>جمارك وضريبة وتخليص على المستورد</t>
        </is>
      </c>
      <c r="B9" s="4" t="n">
        <v>0.2</v>
      </c>
      <c r="C9" s="3" t="inlineStr">
        <is>
          <t>تقدير</t>
        </is>
      </c>
    </row>
    <row r="10">
      <c r="A10" s="3" t="inlineStr">
        <is>
          <t>أجر ساعة الفني في مصر (ج)</t>
        </is>
      </c>
      <c r="B10" s="4" t="n">
        <v>250</v>
      </c>
      <c r="C10" s="3" t="inlineStr">
        <is>
          <t>تقدير</t>
        </is>
      </c>
    </row>
    <row r="11">
      <c r="A11" s="3" t="inlineStr">
        <is>
          <t>قيمة المحرك والقطع المفكوكة (ج)</t>
        </is>
      </c>
      <c r="B11" s="4" t="n">
        <v>35000</v>
      </c>
      <c r="C11" s="3" t="inlineStr">
        <is>
          <t>تقدير</t>
        </is>
      </c>
    </row>
    <row r="12">
      <c r="A12" s="3" t="inlineStr">
        <is>
          <t>وفر الصيانة (ج لكل كم)</t>
        </is>
      </c>
      <c r="B12" s="4" t="n">
        <v>0.5</v>
      </c>
      <c r="C12" s="3" t="inlineStr">
        <is>
          <t>تقدير</t>
        </is>
      </c>
    </row>
    <row r="13">
      <c r="A13" s="3" t="inlineStr">
        <is>
          <t>كفاءة الشحن</t>
        </is>
      </c>
      <c r="B13" s="4" t="n">
        <v>0.9</v>
      </c>
      <c r="C13" s="3" t="inlineStr"/>
    </row>
    <row r="14">
      <c r="A14" s="3" t="inlineStr">
        <is>
          <t>كم سنوياً · استخدام شخصي</t>
        </is>
      </c>
      <c r="B14" s="4" t="n">
        <v>15000</v>
      </c>
      <c r="C14" s="3" t="inlineStr"/>
    </row>
    <row r="15">
      <c r="A15" s="3" t="inlineStr">
        <is>
          <t>كم سنوياً · تاكسي</t>
        </is>
      </c>
      <c r="B15" s="4" t="n">
        <v>70000</v>
      </c>
      <c r="C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48" customHeight="1">
      <c r="A1" s="2" t="inlineStr">
        <is>
          <t>السيارة</t>
        </is>
      </c>
      <c r="B1" s="2" t="inlineStr">
        <is>
          <t>السنوات</t>
        </is>
      </c>
      <c r="C1" s="2" t="inlineStr">
        <is>
          <t>الفئة</t>
        </is>
      </c>
      <c r="D1" s="2" t="inlineStr">
        <is>
          <t>ناقل الحركة</t>
        </is>
      </c>
      <c r="E1" s="2" t="inlineStr">
        <is>
          <t>الوزن الفارغ kg</t>
        </is>
      </c>
      <c r="F1" s="2" t="inlineStr">
        <is>
          <t>استهلاك لتر/100 كم</t>
        </is>
      </c>
      <c r="G1" s="2" t="inlineStr">
        <is>
          <t>البنزين</t>
        </is>
      </c>
      <c r="H1" s="2" t="inlineStr">
        <is>
          <t>القياسية kWh</t>
        </is>
      </c>
      <c r="I1" s="2" t="inlineStr">
        <is>
          <t>القياسية: قطع مستوردة $</t>
        </is>
      </c>
      <c r="J1" s="2" t="inlineStr">
        <is>
          <t>القياسية: تركيب $</t>
        </is>
      </c>
      <c r="K1" s="2" t="inlineStr">
        <is>
          <t>القياسية: المدى km</t>
        </is>
      </c>
      <c r="L1" s="2" t="inlineStr">
        <is>
          <t>القياسية (ج)</t>
        </is>
      </c>
      <c r="M1" s="2" t="inlineStr">
        <is>
          <t>اقتصادي kWh</t>
        </is>
      </c>
      <c r="N1" s="2" t="inlineStr">
        <is>
          <t>اقتصادي: مستورد $</t>
        </is>
      </c>
      <c r="O1" s="2" t="inlineStr">
        <is>
          <t>اقتصادي: محلي $</t>
        </is>
      </c>
      <c r="P1" s="2" t="inlineStr">
        <is>
          <t>اقتصادي: روافع (ج)</t>
        </is>
      </c>
      <c r="Q1" s="2" t="inlineStr">
        <is>
          <t>اقتصادي: ساعات</t>
        </is>
      </c>
      <c r="R1" s="2" t="inlineStr">
        <is>
          <t>اقتصادي Wh/km</t>
        </is>
      </c>
      <c r="S1" s="2" t="inlineStr">
        <is>
          <t>اقتصادي: المدى km</t>
        </is>
      </c>
      <c r="T1" s="2" t="inlineStr">
        <is>
          <t>مدد اقتصادي (ج)</t>
        </is>
      </c>
      <c r="U1" s="2" t="inlineStr">
        <is>
          <t>ممتد kWh</t>
        </is>
      </c>
      <c r="V1" s="2" t="inlineStr">
        <is>
          <t>حقيبة kWh</t>
        </is>
      </c>
      <c r="W1" s="2" t="inlineStr">
        <is>
          <t>ممتد: مستورد $</t>
        </is>
      </c>
      <c r="X1" s="2" t="inlineStr">
        <is>
          <t>ممتد: محلي $</t>
        </is>
      </c>
      <c r="Y1" s="2" t="inlineStr">
        <is>
          <t>ممتد: روافع (ج)</t>
        </is>
      </c>
      <c r="Z1" s="2" t="inlineStr">
        <is>
          <t>ممتد: ساعات</t>
        </is>
      </c>
      <c r="AA1" s="2" t="inlineStr">
        <is>
          <t>ممتد Wh/km</t>
        </is>
      </c>
      <c r="AB1" s="2" t="inlineStr">
        <is>
          <t>ممتد: المدى km</t>
        </is>
      </c>
      <c r="AC1" s="2" t="inlineStr">
        <is>
          <t>مدد ممتد (ج)</t>
        </is>
      </c>
      <c r="AD1" s="2" t="inlineStr">
        <is>
          <t>خفض التكلفة · اقتصادي</t>
        </is>
      </c>
      <c r="AE1" s="2" t="inlineStr">
        <is>
          <t>زيادة المدى · ممتد</t>
        </is>
      </c>
      <c r="AF1" s="2" t="inlineStr">
        <is>
          <t>وفر سنوي شخصي · ممتد (ج)</t>
        </is>
      </c>
      <c r="AG1" s="2" t="inlineStr">
        <is>
          <t>استرداد شخصي (سنة)</t>
        </is>
      </c>
      <c r="AH1" s="2" t="inlineStr">
        <is>
          <t>وفر سنوي تاكسي · ممتد (ج)</t>
        </is>
      </c>
      <c r="AI1" s="2" t="inlineStr">
        <is>
          <t>استرداد تاكسي (سنة)</t>
        </is>
      </c>
      <c r="AJ1" s="2" t="inlineStr">
        <is>
          <t>المحرك</t>
        </is>
      </c>
      <c r="AK1" s="2" t="inlineStr">
        <is>
          <t>0–100 (s)</t>
        </is>
      </c>
    </row>
    <row r="2">
      <c r="A2" s="3" t="inlineStr">
        <is>
          <t>هيونداي فيرنا</t>
        </is>
      </c>
      <c r="B2" s="3" t="inlineStr">
        <is>
          <t>2006–2023</t>
        </is>
      </c>
      <c r="C2" s="3" t="inlineStr">
        <is>
          <t>هاتشباك وسيدان صغيرة (فئة B)</t>
        </is>
      </c>
      <c r="D2" s="3" t="inlineStr">
        <is>
          <t>يدوي</t>
        </is>
      </c>
      <c r="E2" s="3" t="n">
        <v>1085</v>
      </c>
      <c r="F2" s="3" t="n">
        <v>8</v>
      </c>
      <c r="G2" s="3" t="n">
        <v>92</v>
      </c>
      <c r="H2" s="3" t="n">
        <v>40.5</v>
      </c>
      <c r="I2" s="5" t="n">
        <v>11189</v>
      </c>
      <c r="J2" s="5" t="n">
        <v>3640</v>
      </c>
      <c r="K2" s="3" t="n">
        <v>229</v>
      </c>
      <c r="L2" s="6">
        <f>ROUND((I2*(1+'الافتراضات'!$B$9)+J2)*'الافتراضات'!$B$4,0)</f>
        <v/>
      </c>
      <c r="M2" s="3" t="n">
        <v>40.5</v>
      </c>
      <c r="N2" s="5" t="n">
        <v>7790</v>
      </c>
      <c r="O2" s="5" t="n">
        <v>1196</v>
      </c>
      <c r="P2" s="5" t="n">
        <v>15600</v>
      </c>
      <c r="Q2" s="3" t="n">
        <v>103</v>
      </c>
      <c r="R2" s="3" t="n">
        <v>144</v>
      </c>
      <c r="S2" s="3" t="n">
        <v>259</v>
      </c>
      <c r="T2" s="6">
        <f>ROUND(N2*(1+'الافتراضات'!$B$9)*'الافتراضات'!$B$4+O2*'الافتراضات'!$B$4+P2+Q2*'الافتراضات'!$B$10,0)</f>
        <v/>
      </c>
      <c r="U2" s="3" t="n">
        <v>40.5</v>
      </c>
      <c r="V2" s="3" t="n">
        <v>14.3</v>
      </c>
      <c r="W2" s="5" t="n">
        <v>10458</v>
      </c>
      <c r="X2" s="5" t="n">
        <v>1376</v>
      </c>
      <c r="Y2" s="5" t="n">
        <v>15600</v>
      </c>
      <c r="Z2" s="3" t="n">
        <v>107</v>
      </c>
      <c r="AA2" s="3" t="n">
        <v>148</v>
      </c>
      <c r="AB2" s="3" t="n">
        <v>332</v>
      </c>
      <c r="AC2" s="6">
        <f>ROUND(W2*(1+'الافتراضات'!$B$9)*'الافتراضات'!$B$4+X2*'الافتراضات'!$B$4+Y2+Z2*'الافتراضات'!$B$10,0)</f>
        <v/>
      </c>
      <c r="AD2" s="7">
        <f>1-T2/L2</f>
        <v/>
      </c>
      <c r="AE2" s="7">
        <f>AB2/K2-1</f>
        <v/>
      </c>
      <c r="AF2" s="6">
        <f>ROUND('الافتراضات'!$B$14*F2/100*IF(G2=80,'الافتراضات'!$B$5,IF(G2=95,'الافتراضات'!$B$7,'الافتراضات'!$B$6))-'الافتراضات'!$B$14*AA2/1000/'الافتراضات'!$B$13*'الافتراضات'!$B$8+'الافتراضات'!$B$14*'الافتراضات'!$B$12,0)</f>
        <v/>
      </c>
      <c r="AG2">
        <f>ROUND(MAX(0,AC2-'الافتراضات'!$B$11)/AF2,1)</f>
        <v/>
      </c>
      <c r="AH2" s="6">
        <f>ROUND('الافتراضات'!$B$15*F2/100*IF(G2=80,'الافتراضات'!$B$5,IF(G2=95,'الافتراضات'!$B$7,'الافتراضات'!$B$6))-'الافتراضات'!$B$15*AA2/1000/'الافتراضات'!$B$13*'الافتراضات'!$B$8+'الافتراضات'!$B$15*'الافتراضات'!$B$12,0)</f>
        <v/>
      </c>
      <c r="AI2">
        <f>ROUND(MAX(0,AC2-'الافتراضات'!$B$11)/AH2,1)</f>
        <v/>
      </c>
      <c r="AJ2" t="inlineStr">
        <is>
          <t>BQ-D60 · PMSM 32/60 kW</t>
        </is>
      </c>
      <c r="AK2" t="n">
        <v>12.8</v>
      </c>
    </row>
    <row r="3">
      <c r="A3" s="3" t="inlineStr">
        <is>
          <t>هيونداي أكسنت HCI</t>
        </is>
      </c>
      <c r="B3" s="3" t="inlineStr">
        <is>
          <t>2000–2012</t>
        </is>
      </c>
      <c r="C3" s="3" t="inlineStr">
        <is>
          <t>هاتشباك وسيدان صغيرة (فئة B)</t>
        </is>
      </c>
      <c r="D3" s="3" t="inlineStr">
        <is>
          <t>يدوي</t>
        </is>
      </c>
      <c r="E3" s="3" t="n">
        <v>1020</v>
      </c>
      <c r="F3" s="3" t="n">
        <v>8</v>
      </c>
      <c r="G3" s="3" t="n">
        <v>92</v>
      </c>
      <c r="H3" s="3" t="n">
        <v>40.5</v>
      </c>
      <c r="I3" s="5" t="n">
        <v>11189</v>
      </c>
      <c r="J3" s="5" t="n">
        <v>3640</v>
      </c>
      <c r="K3" s="3" t="n">
        <v>233</v>
      </c>
      <c r="L3" s="6">
        <f>ROUND((I3*(1+'الافتراضات'!$B$9)+J3)*'الافتراضات'!$B$4,0)</f>
        <v/>
      </c>
      <c r="M3" s="3" t="n">
        <v>40.5</v>
      </c>
      <c r="N3" s="5" t="n">
        <v>7790</v>
      </c>
      <c r="O3" s="5" t="n">
        <v>1196</v>
      </c>
      <c r="P3" s="5" t="n">
        <v>15600</v>
      </c>
      <c r="Q3" s="3" t="n">
        <v>103</v>
      </c>
      <c r="R3" s="3" t="n">
        <v>142</v>
      </c>
      <c r="S3" s="3" t="n">
        <v>263</v>
      </c>
      <c r="T3" s="6">
        <f>ROUND(N3*(1+'الافتراضات'!$B$9)*'الافتراضات'!$B$4+O3*'الافتراضات'!$B$4+P3+Q3*'الافتراضات'!$B$10,0)</f>
        <v/>
      </c>
      <c r="U3" s="3" t="n">
        <v>40.5</v>
      </c>
      <c r="V3" s="3" t="n">
        <v>14.3</v>
      </c>
      <c r="W3" s="5" t="n">
        <v>10458</v>
      </c>
      <c r="X3" s="5" t="n">
        <v>1376</v>
      </c>
      <c r="Y3" s="5" t="n">
        <v>15600</v>
      </c>
      <c r="Z3" s="3" t="n">
        <v>107</v>
      </c>
      <c r="AA3" s="3" t="n">
        <v>145</v>
      </c>
      <c r="AB3" s="3" t="n">
        <v>338</v>
      </c>
      <c r="AC3" s="6">
        <f>ROUND(W3*(1+'الافتراضات'!$B$9)*'الافتراضات'!$B$4+X3*'الافتراضات'!$B$4+Y3+Z3*'الافتراضات'!$B$10,0)</f>
        <v/>
      </c>
      <c r="AD3" s="7">
        <f>1-T3/L3</f>
        <v/>
      </c>
      <c r="AE3" s="7">
        <f>AB3/K3-1</f>
        <v/>
      </c>
      <c r="AF3" s="6">
        <f>ROUND('الافتراضات'!$B$14*F3/100*IF(G3=80,'الافتراضات'!$B$5,IF(G3=95,'الافتراضات'!$B$7,'الافتراضات'!$B$6))-'الافتراضات'!$B$14*AA3/1000/'الافتراضات'!$B$13*'الافتراضات'!$B$8+'الافتراضات'!$B$14*'الافتراضات'!$B$12,0)</f>
        <v/>
      </c>
      <c r="AG3">
        <f>ROUND(MAX(0,AC3-'الافتراضات'!$B$11)/AF3,1)</f>
        <v/>
      </c>
      <c r="AH3" s="6">
        <f>ROUND('الافتراضات'!$B$15*F3/100*IF(G3=80,'الافتراضات'!$B$5,IF(G3=95,'الافتراضات'!$B$7,'الافتراضات'!$B$6))-'الافتراضات'!$B$15*AA3/1000/'الافتراضات'!$B$13*'الافتراضات'!$B$8+'الافتراضات'!$B$15*'الافتراضات'!$B$12,0)</f>
        <v/>
      </c>
      <c r="AI3">
        <f>ROUND(MAX(0,AC3-'الافتراضات'!$B$11)/AH3,1)</f>
        <v/>
      </c>
      <c r="AJ3" t="inlineStr">
        <is>
          <t>BQ-D60 · PMSM 32/60 kW</t>
        </is>
      </c>
      <c r="AK3" t="n">
        <v>12.1</v>
      </c>
    </row>
    <row r="4">
      <c r="A4" s="3" t="inlineStr">
        <is>
          <t>هيونداي أكسنت RB</t>
        </is>
      </c>
      <c r="B4" s="3" t="inlineStr">
        <is>
          <t>2011–2019</t>
        </is>
      </c>
      <c r="C4" s="3" t="inlineStr">
        <is>
          <t>هاتشباك وسيدان صغيرة (فئة B)</t>
        </is>
      </c>
      <c r="D4" s="3" t="inlineStr">
        <is>
          <t>أوتوماتيك</t>
        </is>
      </c>
      <c r="E4" s="3" t="n">
        <v>1130</v>
      </c>
      <c r="F4" s="3" t="n">
        <v>7.8</v>
      </c>
      <c r="G4" s="3" t="n">
        <v>92</v>
      </c>
      <c r="H4" s="3" t="n">
        <v>40.5</v>
      </c>
      <c r="I4" s="5" t="n">
        <v>11189</v>
      </c>
      <c r="J4" s="5" t="n">
        <v>3640</v>
      </c>
      <c r="K4" s="3" t="n">
        <v>226</v>
      </c>
      <c r="L4" s="6">
        <f>ROUND((I4*(1+'الافتراضات'!$B$9)+J4)*'الافتراضات'!$B$4,0)</f>
        <v/>
      </c>
      <c r="M4" s="3" t="n">
        <v>40.5</v>
      </c>
      <c r="N4" s="5" t="n">
        <v>8690</v>
      </c>
      <c r="O4" s="5" t="n">
        <v>1034</v>
      </c>
      <c r="P4" s="5" t="n">
        <v>15600</v>
      </c>
      <c r="Q4" s="3" t="n">
        <v>107</v>
      </c>
      <c r="R4" s="3" t="n">
        <v>145</v>
      </c>
      <c r="S4" s="3" t="n">
        <v>257</v>
      </c>
      <c r="T4" s="6">
        <f>ROUND(N4*(1+'الافتراضات'!$B$9)*'الافتراضات'!$B$4+O4*'الافتراضات'!$B$4+P4+Q4*'الافتراضات'!$B$10,0)</f>
        <v/>
      </c>
      <c r="U4" s="3" t="n">
        <v>40.5</v>
      </c>
      <c r="V4" s="3" t="n">
        <v>14.3</v>
      </c>
      <c r="W4" s="5" t="n">
        <v>11358</v>
      </c>
      <c r="X4" s="5" t="n">
        <v>1214</v>
      </c>
      <c r="Y4" s="5" t="n">
        <v>15600</v>
      </c>
      <c r="Z4" s="3" t="n">
        <v>111</v>
      </c>
      <c r="AA4" s="3" t="n">
        <v>149</v>
      </c>
      <c r="AB4" s="3" t="n">
        <v>330</v>
      </c>
      <c r="AC4" s="6">
        <f>ROUND(W4*(1+'الافتراضات'!$B$9)*'الافتراضات'!$B$4+X4*'الافتراضات'!$B$4+Y4+Z4*'الافتراضات'!$B$10,0)</f>
        <v/>
      </c>
      <c r="AD4" s="7">
        <f>1-T4/L4</f>
        <v/>
      </c>
      <c r="AE4" s="7">
        <f>AB4/K4-1</f>
        <v/>
      </c>
      <c r="AF4" s="6">
        <f>ROUND('الافتراضات'!$B$14*F4/100*IF(G4=80,'الافتراضات'!$B$5,IF(G4=95,'الافتراضات'!$B$7,'الافتراضات'!$B$6))-'الافتراضات'!$B$14*AA4/1000/'الافتراضات'!$B$13*'الافتراضات'!$B$8+'الافتراضات'!$B$14*'الافتراضات'!$B$12,0)</f>
        <v/>
      </c>
      <c r="AG4">
        <f>ROUND(MAX(0,AC4-'الافتراضات'!$B$11)/AF4,1)</f>
        <v/>
      </c>
      <c r="AH4" s="6">
        <f>ROUND('الافتراضات'!$B$15*F4/100*IF(G4=80,'الافتراضات'!$B$5,IF(G4=95,'الافتراضات'!$B$7,'الافتراضات'!$B$6))-'الافتراضات'!$B$15*AA4/1000/'الافتراضات'!$B$13*'الافتراضات'!$B$8+'الافتراضات'!$B$15*'الافتراضات'!$B$12,0)</f>
        <v/>
      </c>
      <c r="AI4">
        <f>ROUND(MAX(0,AC4-'الافتراضات'!$B$11)/AH4,1)</f>
        <v/>
      </c>
      <c r="AJ4" t="inlineStr">
        <is>
          <t>BQ-D60 · PMSM 32/60 kW</t>
        </is>
      </c>
      <c r="AK4" t="n">
        <v>13</v>
      </c>
    </row>
    <row r="5">
      <c r="A5" s="3" t="inlineStr">
        <is>
          <t>هيونداي إلنترا HD</t>
        </is>
      </c>
      <c r="B5" s="3" t="inlineStr">
        <is>
          <t>2007–2016</t>
        </is>
      </c>
      <c r="C5" s="3" t="inlineStr">
        <is>
          <t>سيدان وهاتشباك متوسطة صغيرة (فئة C)</t>
        </is>
      </c>
      <c r="D5" s="3" t="inlineStr">
        <is>
          <t>أوتوماتيك</t>
        </is>
      </c>
      <c r="E5" s="3" t="n">
        <v>1250</v>
      </c>
      <c r="F5" s="3" t="n">
        <v>9</v>
      </c>
      <c r="G5" s="3" t="n">
        <v>92</v>
      </c>
      <c r="H5" s="3" t="n">
        <v>81</v>
      </c>
      <c r="I5" s="5" t="n">
        <v>16590</v>
      </c>
      <c r="J5" s="5" t="n">
        <v>3815</v>
      </c>
      <c r="K5" s="3" t="n">
        <v>413</v>
      </c>
      <c r="L5" s="6">
        <f>ROUND((I5*(1+'الافتراضات'!$B$9)+J5)*'الافتراضات'!$B$4,0)</f>
        <v/>
      </c>
      <c r="M5" s="3" t="n">
        <v>40.5</v>
      </c>
      <c r="N5" s="5" t="n">
        <v>10390</v>
      </c>
      <c r="O5" s="5" t="n">
        <v>1041</v>
      </c>
      <c r="P5" s="5" t="n">
        <v>15600</v>
      </c>
      <c r="Q5" s="3" t="n">
        <v>112</v>
      </c>
      <c r="R5" s="3" t="n">
        <v>151</v>
      </c>
      <c r="S5" s="3" t="n">
        <v>246</v>
      </c>
      <c r="T5" s="6">
        <f>ROUND(N5*(1+'الافتراضات'!$B$9)*'الافتراضات'!$B$4+O5*'الافتراضات'!$B$4+P5+Q5*'الافتراضات'!$B$10,0)</f>
        <v/>
      </c>
      <c r="U5" s="3" t="n">
        <v>81</v>
      </c>
      <c r="V5" s="3" t="n">
        <v>5.12</v>
      </c>
      <c r="W5" s="5" t="n">
        <v>15582</v>
      </c>
      <c r="X5" s="5" t="n">
        <v>1664</v>
      </c>
      <c r="Y5" s="5" t="n">
        <v>15600</v>
      </c>
      <c r="Z5" s="3" t="n">
        <v>116</v>
      </c>
      <c r="AA5" s="3" t="n">
        <v>160</v>
      </c>
      <c r="AB5" s="3" t="n">
        <v>493</v>
      </c>
      <c r="AC5" s="6">
        <f>ROUND(W5*(1+'الافتراضات'!$B$9)*'الافتراضات'!$B$4+X5*'الافتراضات'!$B$4+Y5+Z5*'الافتراضات'!$B$10,0)</f>
        <v/>
      </c>
      <c r="AD5" s="7">
        <f>1-T5/L5</f>
        <v/>
      </c>
      <c r="AE5" s="7">
        <f>AB5/K5-1</f>
        <v/>
      </c>
      <c r="AF5" s="6">
        <f>ROUND('الافتراضات'!$B$14*F5/100*IF(G5=80,'الافتراضات'!$B$5,IF(G5=95,'الافتراضات'!$B$7,'الافتراضات'!$B$6))-'الافتراضات'!$B$14*AA5/1000/'الافتراضات'!$B$13*'الافتراضات'!$B$8+'الافتراضات'!$B$14*'الافتراضات'!$B$12,0)</f>
        <v/>
      </c>
      <c r="AG5">
        <f>ROUND(MAX(0,AC5-'الافتراضات'!$B$11)/AF5,1)</f>
        <v/>
      </c>
      <c r="AH5" s="6">
        <f>ROUND('الافتراضات'!$B$15*F5/100*IF(G5=80,'الافتراضات'!$B$5,IF(G5=95,'الافتراضات'!$B$7,'الافتراضات'!$B$6))-'الافتراضات'!$B$15*AA5/1000/'الافتراضات'!$B$13*'الافتراضات'!$B$8+'الافتراضات'!$B$15*'الافتراضات'!$B$12,0)</f>
        <v/>
      </c>
      <c r="AI5">
        <f>ROUND(MAX(0,AC5-'الافتراضات'!$B$11)/AH5,1)</f>
        <v/>
      </c>
      <c r="AJ5" t="inlineStr">
        <is>
          <t>BQ-D100 · PMSM 50/100 kW</t>
        </is>
      </c>
      <c r="AK5" t="n">
        <v>8.5</v>
      </c>
    </row>
    <row r="6">
      <c r="A6" s="3" t="inlineStr">
        <is>
          <t>هيونداي إلنترا AD</t>
        </is>
      </c>
      <c r="B6" s="3" t="inlineStr">
        <is>
          <t>2016–2020</t>
        </is>
      </c>
      <c r="C6" s="3" t="inlineStr">
        <is>
          <t>سيدان وهاتشباك متوسطة صغيرة (فئة C)</t>
        </is>
      </c>
      <c r="D6" s="3" t="inlineStr">
        <is>
          <t>أوتوماتيك</t>
        </is>
      </c>
      <c r="E6" s="3" t="n">
        <v>1265</v>
      </c>
      <c r="F6" s="3" t="n">
        <v>8.199999999999999</v>
      </c>
      <c r="G6" s="3" t="n">
        <v>92</v>
      </c>
      <c r="H6" s="3" t="n">
        <v>81</v>
      </c>
      <c r="I6" s="5" t="n">
        <v>16590</v>
      </c>
      <c r="J6" s="5" t="n">
        <v>3815</v>
      </c>
      <c r="K6" s="3" t="n">
        <v>412</v>
      </c>
      <c r="L6" s="6">
        <f>ROUND((I6*(1+'الافتراضات'!$B$9)+J6)*'الافتراضات'!$B$4,0)</f>
        <v/>
      </c>
      <c r="M6" s="3" t="n">
        <v>40.5</v>
      </c>
      <c r="N6" s="5" t="n">
        <v>10390</v>
      </c>
      <c r="O6" s="5" t="n">
        <v>1041</v>
      </c>
      <c r="P6" s="5" t="n">
        <v>15600</v>
      </c>
      <c r="Q6" s="3" t="n">
        <v>112</v>
      </c>
      <c r="R6" s="3" t="n">
        <v>152</v>
      </c>
      <c r="S6" s="3" t="n">
        <v>246</v>
      </c>
      <c r="T6" s="6">
        <f>ROUND(N6*(1+'الافتراضات'!$B$9)*'الافتراضات'!$B$4+O6*'الافتراضات'!$B$4+P6+Q6*'الافتراضات'!$B$10,0)</f>
        <v/>
      </c>
      <c r="U6" s="3" t="n">
        <v>81</v>
      </c>
      <c r="V6" s="3" t="n">
        <v>5.12</v>
      </c>
      <c r="W6" s="5" t="n">
        <v>15582</v>
      </c>
      <c r="X6" s="5" t="n">
        <v>1664</v>
      </c>
      <c r="Y6" s="5" t="n">
        <v>15600</v>
      </c>
      <c r="Z6" s="3" t="n">
        <v>116</v>
      </c>
      <c r="AA6" s="3" t="n">
        <v>160</v>
      </c>
      <c r="AB6" s="3" t="n">
        <v>491</v>
      </c>
      <c r="AC6" s="6">
        <f>ROUND(W6*(1+'الافتراضات'!$B$9)*'الافتراضات'!$B$4+X6*'الافتراضات'!$B$4+Y6+Z6*'الافتراضات'!$B$10,0)</f>
        <v/>
      </c>
      <c r="AD6" s="7">
        <f>1-T6/L6</f>
        <v/>
      </c>
      <c r="AE6" s="7">
        <f>AB6/K6-1</f>
        <v/>
      </c>
      <c r="AF6" s="6">
        <f>ROUND('الافتراضات'!$B$14*F6/100*IF(G6=80,'الافتراضات'!$B$5,IF(G6=95,'الافتراضات'!$B$7,'الافتراضات'!$B$6))-'الافتراضات'!$B$14*AA6/1000/'الافتراضات'!$B$13*'الافتراضات'!$B$8+'الافتراضات'!$B$14*'الافتراضات'!$B$12,0)</f>
        <v/>
      </c>
      <c r="AG6">
        <f>ROUND(MAX(0,AC6-'الافتراضات'!$B$11)/AF6,1)</f>
        <v/>
      </c>
      <c r="AH6" s="6">
        <f>ROUND('الافتراضات'!$B$15*F6/100*IF(G6=80,'الافتراضات'!$B$5,IF(G6=95,'الافتراضات'!$B$7,'الافتراضات'!$B$6))-'الافتراضات'!$B$15*AA6/1000/'الافتراضات'!$B$13*'الافتراضات'!$B$8+'الافتراضات'!$B$15*'الافتراضات'!$B$12,0)</f>
        <v/>
      </c>
      <c r="AI6">
        <f>ROUND(MAX(0,AC6-'الافتراضات'!$B$11)/AH6,1)</f>
        <v/>
      </c>
      <c r="AJ6" t="inlineStr">
        <is>
          <t>BQ-D100 · PMSM 50/100 kW</t>
        </is>
      </c>
      <c r="AK6" t="n">
        <v>8.6</v>
      </c>
    </row>
    <row r="7">
      <c r="A7" s="3" t="inlineStr">
        <is>
          <t>هيونداي إلنترا CN7</t>
        </is>
      </c>
      <c r="B7" s="3" t="inlineStr">
        <is>
          <t>2021–2026</t>
        </is>
      </c>
      <c r="C7" s="3" t="inlineStr">
        <is>
          <t>سيدان وهاتشباك متوسطة صغيرة (فئة C)</t>
        </is>
      </c>
      <c r="D7" s="3" t="inlineStr">
        <is>
          <t>أوتوماتيك</t>
        </is>
      </c>
      <c r="E7" s="3" t="n">
        <v>1250</v>
      </c>
      <c r="F7" s="3" t="n">
        <v>7.5</v>
      </c>
      <c r="G7" s="3" t="n">
        <v>92</v>
      </c>
      <c r="H7" s="3" t="n">
        <v>81</v>
      </c>
      <c r="I7" s="5" t="n">
        <v>16590</v>
      </c>
      <c r="J7" s="5" t="n">
        <v>3815</v>
      </c>
      <c r="K7" s="3" t="n">
        <v>413</v>
      </c>
      <c r="L7" s="6">
        <f>ROUND((I7*(1+'الافتراضات'!$B$9)+J7)*'الافتراضات'!$B$4,0)</f>
        <v/>
      </c>
      <c r="M7" s="3" t="n">
        <v>40.5</v>
      </c>
      <c r="N7" s="5" t="n">
        <v>10390</v>
      </c>
      <c r="O7" s="5" t="n">
        <v>1041</v>
      </c>
      <c r="P7" s="5" t="n">
        <v>15600</v>
      </c>
      <c r="Q7" s="3" t="n">
        <v>112</v>
      </c>
      <c r="R7" s="3" t="n">
        <v>151</v>
      </c>
      <c r="S7" s="3" t="n">
        <v>246</v>
      </c>
      <c r="T7" s="6">
        <f>ROUND(N7*(1+'الافتراضات'!$B$9)*'الافتراضات'!$B$4+O7*'الافتراضات'!$B$4+P7+Q7*'الافتراضات'!$B$10,0)</f>
        <v/>
      </c>
      <c r="U7" s="3" t="n">
        <v>81</v>
      </c>
      <c r="V7" s="3" t="n">
        <v>5.12</v>
      </c>
      <c r="W7" s="5" t="n">
        <v>15582</v>
      </c>
      <c r="X7" s="5" t="n">
        <v>1664</v>
      </c>
      <c r="Y7" s="5" t="n">
        <v>15600</v>
      </c>
      <c r="Z7" s="3" t="n">
        <v>116</v>
      </c>
      <c r="AA7" s="3" t="n">
        <v>160</v>
      </c>
      <c r="AB7" s="3" t="n">
        <v>493</v>
      </c>
      <c r="AC7" s="6">
        <f>ROUND(W7*(1+'الافتراضات'!$B$9)*'الافتراضات'!$B$4+X7*'الافتراضات'!$B$4+Y7+Z7*'الافتراضات'!$B$10,0)</f>
        <v/>
      </c>
      <c r="AD7" s="7">
        <f>1-T7/L7</f>
        <v/>
      </c>
      <c r="AE7" s="7">
        <f>AB7/K7-1</f>
        <v/>
      </c>
      <c r="AF7" s="6">
        <f>ROUND('الافتراضات'!$B$14*F7/100*IF(G7=80,'الافتراضات'!$B$5,IF(G7=95,'الافتراضات'!$B$7,'الافتراضات'!$B$6))-'الافتراضات'!$B$14*AA7/1000/'الافتراضات'!$B$13*'الافتراضات'!$B$8+'الافتراضات'!$B$14*'الافتراضات'!$B$12,0)</f>
        <v/>
      </c>
      <c r="AG7">
        <f>ROUND(MAX(0,AC7-'الافتراضات'!$B$11)/AF7,1)</f>
        <v/>
      </c>
      <c r="AH7" s="6">
        <f>ROUND('الافتراضات'!$B$15*F7/100*IF(G7=80,'الافتراضات'!$B$5,IF(G7=95,'الافتراضات'!$B$7,'الافتراضات'!$B$6))-'الافتراضات'!$B$15*AA7/1000/'الافتراضات'!$B$13*'الافتراضات'!$B$8+'الافتراضات'!$B$15*'الافتراضات'!$B$12,0)</f>
        <v/>
      </c>
      <c r="AI7">
        <f>ROUND(MAX(0,AC7-'الافتراضات'!$B$11)/AH7,1)</f>
        <v/>
      </c>
      <c r="AJ7" t="inlineStr">
        <is>
          <t>BQ-D100 · PMSM 50/100 kW</t>
        </is>
      </c>
      <c r="AK7" t="n">
        <v>8.5</v>
      </c>
    </row>
    <row r="8">
      <c r="A8" s="3" t="inlineStr">
        <is>
          <t>هيونداي i10 / جراند i10</t>
        </is>
      </c>
      <c r="B8" s="3" t="inlineStr">
        <is>
          <t>2008–2026</t>
        </is>
      </c>
      <c r="C8" s="3" t="inlineStr">
        <is>
          <t>صغيرة (فئة A)</t>
        </is>
      </c>
      <c r="D8" s="3" t="inlineStr">
        <is>
          <t>يدوي</t>
        </is>
      </c>
      <c r="E8" s="3" t="n">
        <v>950</v>
      </c>
      <c r="F8" s="3" t="n">
        <v>6.5</v>
      </c>
      <c r="G8" s="3" t="n">
        <v>92</v>
      </c>
      <c r="H8" s="3" t="n">
        <v>40.5</v>
      </c>
      <c r="I8" s="5" t="n">
        <v>11184</v>
      </c>
      <c r="J8" s="5" t="n">
        <v>3465</v>
      </c>
      <c r="K8" s="3" t="n">
        <v>240</v>
      </c>
      <c r="L8" s="6">
        <f>ROUND((I8*(1+'الافتراضات'!$B$9)+J8)*'الافتراضات'!$B$4,0)</f>
        <v/>
      </c>
      <c r="M8" s="3" t="n">
        <v>40.5</v>
      </c>
      <c r="N8" s="5" t="n">
        <v>7790</v>
      </c>
      <c r="O8" s="5" t="n">
        <v>1388</v>
      </c>
      <c r="P8" s="5" t="n">
        <v>15600</v>
      </c>
      <c r="Q8" s="3" t="n">
        <v>98</v>
      </c>
      <c r="R8" s="3" t="n">
        <v>137</v>
      </c>
      <c r="S8" s="3" t="n">
        <v>271</v>
      </c>
      <c r="T8" s="6">
        <f>ROUND(N8*(1+'الافتراضات'!$B$9)*'الافتراضات'!$B$4+O8*'الافتراضات'!$B$4+P8+Q8*'الافتراضات'!$B$10,0)</f>
        <v/>
      </c>
      <c r="U8" s="3" t="n">
        <v>40.5</v>
      </c>
      <c r="V8" s="3" t="n">
        <v>5.12</v>
      </c>
      <c r="W8" s="5" t="n">
        <v>10352</v>
      </c>
      <c r="X8" s="5" t="n">
        <v>1478</v>
      </c>
      <c r="Y8" s="5" t="n">
        <v>15600</v>
      </c>
      <c r="Z8" s="3" t="n">
        <v>102</v>
      </c>
      <c r="AA8" s="3" t="n">
        <v>139</v>
      </c>
      <c r="AB8" s="3" t="n">
        <v>298</v>
      </c>
      <c r="AC8" s="6">
        <f>ROUND(W8*(1+'الافتراضات'!$B$9)*'الافتراضات'!$B$4+X8*'الافتراضات'!$B$4+Y8+Z8*'الافتراضات'!$B$10,0)</f>
        <v/>
      </c>
      <c r="AD8" s="7">
        <f>1-T8/L8</f>
        <v/>
      </c>
      <c r="AE8" s="7">
        <f>AB8/K8-1</f>
        <v/>
      </c>
      <c r="AF8" s="6">
        <f>ROUND('الافتراضات'!$B$14*F8/100*IF(G8=80,'الافتراضات'!$B$5,IF(G8=95,'الافتراضات'!$B$7,'الافتراضات'!$B$6))-'الافتراضات'!$B$14*AA8/1000/'الافتراضات'!$B$13*'الافتراضات'!$B$8+'الافتراضات'!$B$14*'الافتراضات'!$B$12,0)</f>
        <v/>
      </c>
      <c r="AG8">
        <f>ROUND(MAX(0,AC8-'الافتراضات'!$B$11)/AF8,1)</f>
        <v/>
      </c>
      <c r="AH8" s="6">
        <f>ROUND('الافتراضات'!$B$15*F8/100*IF(G8=80,'الافتراضات'!$B$5,IF(G8=95,'الافتراضات'!$B$7,'الافتراضات'!$B$6))-'الافتراضات'!$B$15*AA8/1000/'الافتراضات'!$B$13*'الافتراضات'!$B$8+'الافتراضات'!$B$15*'الافتراضات'!$B$12,0)</f>
        <v/>
      </c>
      <c r="AI8">
        <f>ROUND(MAX(0,AC8-'الافتراضات'!$B$11)/AH8,1)</f>
        <v/>
      </c>
      <c r="AJ8" t="inlineStr">
        <is>
          <t>BQ-D60 · PMSM 32/60 kW</t>
        </is>
      </c>
      <c r="AK8" t="n">
        <v>11.6</v>
      </c>
    </row>
    <row r="9">
      <c r="A9" s="3" t="inlineStr">
        <is>
          <t>هيونداي ماتريكس</t>
        </is>
      </c>
      <c r="B9" s="3" t="inlineStr">
        <is>
          <t>2001–2010</t>
        </is>
      </c>
      <c r="C9" s="3" t="inlineStr">
        <is>
          <t>عائلية متعددة الاستخدام (MPV)</t>
        </is>
      </c>
      <c r="D9" s="3" t="inlineStr">
        <is>
          <t>يدوي</t>
        </is>
      </c>
      <c r="E9" s="3" t="n">
        <v>1250</v>
      </c>
      <c r="F9" s="3" t="n">
        <v>9.5</v>
      </c>
      <c r="G9" s="3" t="n">
        <v>92</v>
      </c>
      <c r="H9" s="3" t="n">
        <v>81</v>
      </c>
      <c r="I9" s="5" t="n">
        <v>16762</v>
      </c>
      <c r="J9" s="5" t="n">
        <v>4165</v>
      </c>
      <c r="K9" s="3" t="n">
        <v>371</v>
      </c>
      <c r="L9" s="6">
        <f>ROUND((I9*(1+'الافتراضات'!$B$9)+J9)*'الافتراضات'!$B$4,0)</f>
        <v/>
      </c>
      <c r="M9" s="3" t="n">
        <v>40.5</v>
      </c>
      <c r="N9" s="5" t="n">
        <v>7945</v>
      </c>
      <c r="O9" s="5" t="n">
        <v>1214</v>
      </c>
      <c r="P9" s="5" t="n">
        <v>15600</v>
      </c>
      <c r="Q9" s="3" t="n">
        <v>118</v>
      </c>
      <c r="R9" s="3" t="n">
        <v>172</v>
      </c>
      <c r="S9" s="3" t="n">
        <v>216</v>
      </c>
      <c r="T9" s="6">
        <f>ROUND(N9*(1+'الافتراضات'!$B$9)*'الافتراضات'!$B$4+O9*'الافتراضات'!$B$4+P9+Q9*'الافتراضات'!$B$10,0)</f>
        <v/>
      </c>
      <c r="U9" s="3" t="n">
        <v>81</v>
      </c>
      <c r="V9" s="3" t="n">
        <v>14.3</v>
      </c>
      <c r="W9" s="5" t="n">
        <v>14943</v>
      </c>
      <c r="X9" s="5" t="n">
        <v>1927</v>
      </c>
      <c r="Y9" s="5" t="n">
        <v>15600</v>
      </c>
      <c r="Z9" s="3" t="n">
        <v>122</v>
      </c>
      <c r="AA9" s="3" t="n">
        <v>183</v>
      </c>
      <c r="AB9" s="3" t="n">
        <v>471</v>
      </c>
      <c r="AC9" s="6">
        <f>ROUND(W9*(1+'الافتراضات'!$B$9)*'الافتراضات'!$B$4+X9*'الافتراضات'!$B$4+Y9+Z9*'الافتراضات'!$B$10,0)</f>
        <v/>
      </c>
      <c r="AD9" s="7">
        <f>1-T9/L9</f>
        <v/>
      </c>
      <c r="AE9" s="7">
        <f>AB9/K9-1</f>
        <v/>
      </c>
      <c r="AF9" s="6">
        <f>ROUND('الافتراضات'!$B$14*F9/100*IF(G9=80,'الافتراضات'!$B$5,IF(G9=95,'الافتراضات'!$B$7,'الافتراضات'!$B$6))-'الافتراضات'!$B$14*AA9/1000/'الافتراضات'!$B$13*'الافتراضات'!$B$8+'الافتراضات'!$B$14*'الافتراضات'!$B$12,0)</f>
        <v/>
      </c>
      <c r="AG9">
        <f>ROUND(MAX(0,AC9-'الافتراضات'!$B$11)/AF9,1)</f>
        <v/>
      </c>
      <c r="AH9" s="6">
        <f>ROUND('الافتراضات'!$B$15*F9/100*IF(G9=80,'الافتراضات'!$B$5,IF(G9=95,'الافتراضات'!$B$7,'الافتراضات'!$B$6))-'الافتراضات'!$B$15*AA9/1000/'الافتراضات'!$B$13*'الافتراضات'!$B$8+'الافتراضات'!$B$15*'الافتراضات'!$B$12,0)</f>
        <v/>
      </c>
      <c r="AI9">
        <f>ROUND(MAX(0,AC9-'الافتراضات'!$B$11)/AH9,1)</f>
        <v/>
      </c>
      <c r="AJ9" t="inlineStr">
        <is>
          <t>BQ-D60 · PMSM 32/60 kW</t>
        </is>
      </c>
      <c r="AK9" t="n">
        <v>13.9</v>
      </c>
    </row>
    <row r="10">
      <c r="A10" s="3" t="inlineStr">
        <is>
          <t>هيونداي توسان</t>
        </is>
      </c>
      <c r="B10" s="3" t="inlineStr">
        <is>
          <t>2015–2020</t>
        </is>
      </c>
      <c r="C10" s="3" t="inlineStr">
        <is>
          <t>SUV متوسطة</t>
        </is>
      </c>
      <c r="D10" s="3" t="inlineStr">
        <is>
          <t>أوتوماتيك</t>
        </is>
      </c>
      <c r="E10" s="3" t="n">
        <v>1500</v>
      </c>
      <c r="F10" s="3" t="n">
        <v>10.5</v>
      </c>
      <c r="G10" s="3" t="n">
        <v>92</v>
      </c>
      <c r="H10" s="3" t="n">
        <v>81</v>
      </c>
      <c r="I10" s="5" t="n">
        <v>16201</v>
      </c>
      <c r="J10" s="5" t="n">
        <v>4165</v>
      </c>
      <c r="K10" s="3" t="n">
        <v>344</v>
      </c>
      <c r="L10" s="6">
        <f>ROUND((I10*(1+'الافتراضات'!$B$9)+J10)*'الافتراضات'!$B$4,0)</f>
        <v/>
      </c>
      <c r="M10" s="3" t="n">
        <v>40.5</v>
      </c>
      <c r="N10" s="5" t="n">
        <v>10390</v>
      </c>
      <c r="O10" s="5" t="n">
        <v>1048</v>
      </c>
      <c r="P10" s="5" t="n">
        <v>15600</v>
      </c>
      <c r="Q10" s="3" t="n">
        <v>122</v>
      </c>
      <c r="R10" s="3" t="n">
        <v>186</v>
      </c>
      <c r="S10" s="3" t="n">
        <v>200</v>
      </c>
      <c r="T10" s="6">
        <f>ROUND(N10*(1+'الافتراضات'!$B$9)*'الافتراضات'!$B$4+O10*'الافتراضات'!$B$4+P10+Q10*'الافتراضات'!$B$10,0)</f>
        <v/>
      </c>
      <c r="U10" s="3" t="n">
        <v>81</v>
      </c>
      <c r="V10" s="3" t="n">
        <v>14.3</v>
      </c>
      <c r="W10" s="5" t="n">
        <v>15688</v>
      </c>
      <c r="X10" s="5" t="n">
        <v>1501</v>
      </c>
      <c r="Y10" s="5" t="n">
        <v>15600</v>
      </c>
      <c r="Z10" s="3" t="n">
        <v>126</v>
      </c>
      <c r="AA10" s="3" t="n">
        <v>197</v>
      </c>
      <c r="AB10" s="3" t="n">
        <v>439</v>
      </c>
      <c r="AC10" s="6">
        <f>ROUND(W10*(1+'الافتراضات'!$B$9)*'الافتراضات'!$B$4+X10*'الافتراضات'!$B$4+Y10+Z10*'الافتراضات'!$B$10,0)</f>
        <v/>
      </c>
      <c r="AD10" s="7">
        <f>1-T10/L10</f>
        <v/>
      </c>
      <c r="AE10" s="7">
        <f>AB10/K10-1</f>
        <v/>
      </c>
      <c r="AF10" s="6">
        <f>ROUND('الافتراضات'!$B$14*F10/100*IF(G10=80,'الافتراضات'!$B$5,IF(G10=95,'الافتراضات'!$B$7,'الافتراضات'!$B$6))-'الافتراضات'!$B$14*AA10/1000/'الافتراضات'!$B$13*'الافتراضات'!$B$8+'الافتراضات'!$B$14*'الافتراضات'!$B$12,0)</f>
        <v/>
      </c>
      <c r="AG10">
        <f>ROUND(MAX(0,AC10-'الافتراضات'!$B$11)/AF10,1)</f>
        <v/>
      </c>
      <c r="AH10" s="6">
        <f>ROUND('الافتراضات'!$B$15*F10/100*IF(G10=80,'الافتراضات'!$B$5,IF(G10=95,'الافتراضات'!$B$7,'الافتراضات'!$B$6))-'الافتراضات'!$B$15*AA10/1000/'الافتراضات'!$B$13*'الافتراضات'!$B$8+'الافتراضات'!$B$15*'الافتراضات'!$B$12,0)</f>
        <v/>
      </c>
      <c r="AI10">
        <f>ROUND(MAX(0,AC10-'الافتراضات'!$B$11)/AH10,1)</f>
        <v/>
      </c>
      <c r="AJ10" t="inlineStr">
        <is>
          <t>BQ-D100 · PMSM 50/100 kW</t>
        </is>
      </c>
      <c r="AK10" t="n">
        <v>9.699999999999999</v>
      </c>
    </row>
    <row r="11">
      <c r="A11" s="3" t="inlineStr">
        <is>
          <t>نيسان صني N17</t>
        </is>
      </c>
      <c r="B11" s="3" t="inlineStr">
        <is>
          <t>2012–2026</t>
        </is>
      </c>
      <c r="C11" s="3" t="inlineStr">
        <is>
          <t>هاتشباك وسيدان صغيرة (فئة B)</t>
        </is>
      </c>
      <c r="D11" s="3" t="inlineStr">
        <is>
          <t>يدوي</t>
        </is>
      </c>
      <c r="E11" s="3" t="n">
        <v>1050</v>
      </c>
      <c r="F11" s="3" t="n">
        <v>7.5</v>
      </c>
      <c r="G11" s="3" t="n">
        <v>92</v>
      </c>
      <c r="H11" s="3" t="n">
        <v>40.5</v>
      </c>
      <c r="I11" s="5" t="n">
        <v>11189</v>
      </c>
      <c r="J11" s="5" t="n">
        <v>3640</v>
      </c>
      <c r="K11" s="3" t="n">
        <v>231</v>
      </c>
      <c r="L11" s="6">
        <f>ROUND((I11*(1+'الافتراضات'!$B$9)+J11)*'الافتراضات'!$B$4,0)</f>
        <v/>
      </c>
      <c r="M11" s="3" t="n">
        <v>40.5</v>
      </c>
      <c r="N11" s="5" t="n">
        <v>7790</v>
      </c>
      <c r="O11" s="5" t="n">
        <v>1196</v>
      </c>
      <c r="P11" s="5" t="n">
        <v>15600</v>
      </c>
      <c r="Q11" s="3" t="n">
        <v>103</v>
      </c>
      <c r="R11" s="3" t="n">
        <v>143</v>
      </c>
      <c r="S11" s="3" t="n">
        <v>261</v>
      </c>
      <c r="T11" s="6">
        <f>ROUND(N11*(1+'الافتراضات'!$B$9)*'الافتراضات'!$B$4+O11*'الافتراضات'!$B$4+P11+Q11*'الافتراضات'!$B$10,0)</f>
        <v/>
      </c>
      <c r="U11" s="3" t="n">
        <v>40.5</v>
      </c>
      <c r="V11" s="3" t="n">
        <v>14.3</v>
      </c>
      <c r="W11" s="5" t="n">
        <v>10458</v>
      </c>
      <c r="X11" s="5" t="n">
        <v>1376</v>
      </c>
      <c r="Y11" s="5" t="n">
        <v>15600</v>
      </c>
      <c r="Z11" s="3" t="n">
        <v>107</v>
      </c>
      <c r="AA11" s="3" t="n">
        <v>146</v>
      </c>
      <c r="AB11" s="3" t="n">
        <v>335</v>
      </c>
      <c r="AC11" s="6">
        <f>ROUND(W11*(1+'الافتراضات'!$B$9)*'الافتراضات'!$B$4+X11*'الافتراضات'!$B$4+Y11+Z11*'الافتراضات'!$B$10,0)</f>
        <v/>
      </c>
      <c r="AD11" s="7">
        <f>1-T11/L11</f>
        <v/>
      </c>
      <c r="AE11" s="7">
        <f>AB11/K11-1</f>
        <v/>
      </c>
      <c r="AF11" s="6">
        <f>ROUND('الافتراضات'!$B$14*F11/100*IF(G11=80,'الافتراضات'!$B$5,IF(G11=95,'الافتراضات'!$B$7,'الافتراضات'!$B$6))-'الافتراضات'!$B$14*AA11/1000/'الافتراضات'!$B$13*'الافتراضات'!$B$8+'الافتراضات'!$B$14*'الافتراضات'!$B$12,0)</f>
        <v/>
      </c>
      <c r="AG11">
        <f>ROUND(MAX(0,AC11-'الافتراضات'!$B$11)/AF11,1)</f>
        <v/>
      </c>
      <c r="AH11" s="6">
        <f>ROUND('الافتراضات'!$B$15*F11/100*IF(G11=80,'الافتراضات'!$B$5,IF(G11=95,'الافتراضات'!$B$7,'الافتراضات'!$B$6))-'الافتراضات'!$B$15*AA11/1000/'الافتراضات'!$B$13*'الافتراضات'!$B$8+'الافتراضات'!$B$15*'الافتراضات'!$B$12,0)</f>
        <v/>
      </c>
      <c r="AI11">
        <f>ROUND(MAX(0,AC11-'الافتراضات'!$B$11)/AH11,1)</f>
        <v/>
      </c>
      <c r="AJ11" t="inlineStr">
        <is>
          <t>BQ-D60 · PMSM 32/60 kW</t>
        </is>
      </c>
      <c r="AK11" t="n">
        <v>12.4</v>
      </c>
    </row>
    <row r="12">
      <c r="A12" s="3" t="inlineStr">
        <is>
          <t>نيسان صني B13 / B14</t>
        </is>
      </c>
      <c r="B12" s="3" t="inlineStr">
        <is>
          <t>1991–2001</t>
        </is>
      </c>
      <c r="C12" s="3" t="inlineStr">
        <is>
          <t>هاتشباك وسيدان صغيرة (فئة B)</t>
        </is>
      </c>
      <c r="D12" s="3" t="inlineStr">
        <is>
          <t>يدوي</t>
        </is>
      </c>
      <c r="E12" s="3" t="n">
        <v>960</v>
      </c>
      <c r="F12" s="3" t="n">
        <v>8.5</v>
      </c>
      <c r="G12" s="3" t="n">
        <v>92</v>
      </c>
      <c r="H12" s="3" t="n">
        <v>40.5</v>
      </c>
      <c r="I12" s="5" t="n">
        <v>10744</v>
      </c>
      <c r="J12" s="5" t="n">
        <v>3150</v>
      </c>
      <c r="K12" s="3" t="n">
        <v>237</v>
      </c>
      <c r="L12" s="6">
        <f>ROUND((I12*(1+'الافتراضات'!$B$9)+J12)*'الافتراضات'!$B$4,0)</f>
        <v/>
      </c>
      <c r="M12" s="3" t="n">
        <v>40.5</v>
      </c>
      <c r="N12" s="5" t="n">
        <v>7345</v>
      </c>
      <c r="O12" s="5" t="n">
        <v>1196</v>
      </c>
      <c r="P12" s="5" t="n">
        <v>15600</v>
      </c>
      <c r="Q12" s="3" t="n">
        <v>89</v>
      </c>
      <c r="R12" s="3" t="n">
        <v>139</v>
      </c>
      <c r="S12" s="3" t="n">
        <v>267</v>
      </c>
      <c r="T12" s="6">
        <f>ROUND(N12*(1+'الافتراضات'!$B$9)*'الافتراضات'!$B$4+O12*'الافتراضات'!$B$4+P12+Q12*'الافتراضات'!$B$10,0)</f>
        <v/>
      </c>
      <c r="U12" s="3" t="n">
        <v>40.5</v>
      </c>
      <c r="V12" s="3" t="n">
        <v>14.3</v>
      </c>
      <c r="W12" s="5" t="n">
        <v>10013</v>
      </c>
      <c r="X12" s="5" t="n">
        <v>1376</v>
      </c>
      <c r="Y12" s="5" t="n">
        <v>15600</v>
      </c>
      <c r="Z12" s="3" t="n">
        <v>93</v>
      </c>
      <c r="AA12" s="3" t="n">
        <v>143</v>
      </c>
      <c r="AB12" s="3" t="n">
        <v>343</v>
      </c>
      <c r="AC12" s="6">
        <f>ROUND(W12*(1+'الافتراضات'!$B$9)*'الافتراضات'!$B$4+X12*'الافتراضات'!$B$4+Y12+Z12*'الافتراضات'!$B$10,0)</f>
        <v/>
      </c>
      <c r="AD12" s="7">
        <f>1-T12/L12</f>
        <v/>
      </c>
      <c r="AE12" s="7">
        <f>AB12/K12-1</f>
        <v/>
      </c>
      <c r="AF12" s="6">
        <f>ROUND('الافتراضات'!$B$14*F12/100*IF(G12=80,'الافتراضات'!$B$5,IF(G12=95,'الافتراضات'!$B$7,'الافتراضات'!$B$6))-'الافتراضات'!$B$14*AA12/1000/'الافتراضات'!$B$13*'الافتراضات'!$B$8+'الافتراضات'!$B$14*'الافتراضات'!$B$12,0)</f>
        <v/>
      </c>
      <c r="AG12">
        <f>ROUND(MAX(0,AC12-'الافتراضات'!$B$11)/AF12,1)</f>
        <v/>
      </c>
      <c r="AH12" s="6">
        <f>ROUND('الافتراضات'!$B$15*F12/100*IF(G12=80,'الافتراضات'!$B$5,IF(G12=95,'الافتراضات'!$B$7,'الافتراضات'!$B$6))-'الافتراضات'!$B$15*AA12/1000/'الافتراضات'!$B$13*'الافتراضات'!$B$8+'الافتراضات'!$B$15*'الافتراضات'!$B$12,0)</f>
        <v/>
      </c>
      <c r="AI12">
        <f>ROUND(MAX(0,AC12-'الافتراضات'!$B$11)/AH12,1)</f>
        <v/>
      </c>
      <c r="AJ12" t="inlineStr">
        <is>
          <t>BQ-D60 · PMSM 32/60 kW</t>
        </is>
      </c>
      <c r="AK12" t="n">
        <v>11.5</v>
      </c>
    </row>
    <row r="13">
      <c r="A13" s="3" t="inlineStr">
        <is>
          <t>نيسان سنترا B17</t>
        </is>
      </c>
      <c r="B13" s="3" t="inlineStr">
        <is>
          <t>2013–2020</t>
        </is>
      </c>
      <c r="C13" s="3" t="inlineStr">
        <is>
          <t>سيدان وهاتشباك متوسطة صغيرة (فئة C)</t>
        </is>
      </c>
      <c r="D13" s="3" t="inlineStr">
        <is>
          <t>أوتوماتيك</t>
        </is>
      </c>
      <c r="E13" s="3" t="n">
        <v>1250</v>
      </c>
      <c r="F13" s="3" t="n">
        <v>8</v>
      </c>
      <c r="G13" s="3" t="n">
        <v>92</v>
      </c>
      <c r="H13" s="3" t="n">
        <v>81</v>
      </c>
      <c r="I13" s="5" t="n">
        <v>16590</v>
      </c>
      <c r="J13" s="5" t="n">
        <v>3815</v>
      </c>
      <c r="K13" s="3" t="n">
        <v>413</v>
      </c>
      <c r="L13" s="6">
        <f>ROUND((I13*(1+'الافتراضات'!$B$9)+J13)*'الافتراضات'!$B$4,0)</f>
        <v/>
      </c>
      <c r="M13" s="3" t="n">
        <v>40.5</v>
      </c>
      <c r="N13" s="5" t="n">
        <v>10390</v>
      </c>
      <c r="O13" s="5" t="n">
        <v>1041</v>
      </c>
      <c r="P13" s="5" t="n">
        <v>15600</v>
      </c>
      <c r="Q13" s="3" t="n">
        <v>112</v>
      </c>
      <c r="R13" s="3" t="n">
        <v>151</v>
      </c>
      <c r="S13" s="3" t="n">
        <v>246</v>
      </c>
      <c r="T13" s="6">
        <f>ROUND(N13*(1+'الافتراضات'!$B$9)*'الافتراضات'!$B$4+O13*'الافتراضات'!$B$4+P13+Q13*'الافتراضات'!$B$10,0)</f>
        <v/>
      </c>
      <c r="U13" s="3" t="n">
        <v>81</v>
      </c>
      <c r="V13" s="3" t="n">
        <v>5.12</v>
      </c>
      <c r="W13" s="5" t="n">
        <v>15582</v>
      </c>
      <c r="X13" s="5" t="n">
        <v>1664</v>
      </c>
      <c r="Y13" s="5" t="n">
        <v>15600</v>
      </c>
      <c r="Z13" s="3" t="n">
        <v>116</v>
      </c>
      <c r="AA13" s="3" t="n">
        <v>160</v>
      </c>
      <c r="AB13" s="3" t="n">
        <v>493</v>
      </c>
      <c r="AC13" s="6">
        <f>ROUND(W13*(1+'الافتراضات'!$B$9)*'الافتراضات'!$B$4+X13*'الافتراضات'!$B$4+Y13+Z13*'الافتراضات'!$B$10,0)</f>
        <v/>
      </c>
      <c r="AD13" s="7">
        <f>1-T13/L13</f>
        <v/>
      </c>
      <c r="AE13" s="7">
        <f>AB13/K13-1</f>
        <v/>
      </c>
      <c r="AF13" s="6">
        <f>ROUND('الافتراضات'!$B$14*F13/100*IF(G13=80,'الافتراضات'!$B$5,IF(G13=95,'الافتراضات'!$B$7,'الافتراضات'!$B$6))-'الافتراضات'!$B$14*AA13/1000/'الافتراضات'!$B$13*'الافتراضات'!$B$8+'الافتراضات'!$B$14*'الافتراضات'!$B$12,0)</f>
        <v/>
      </c>
      <c r="AG13">
        <f>ROUND(MAX(0,AC13-'الافتراضات'!$B$11)/AF13,1)</f>
        <v/>
      </c>
      <c r="AH13" s="6">
        <f>ROUND('الافتراضات'!$B$15*F13/100*IF(G13=80,'الافتراضات'!$B$5,IF(G13=95,'الافتراضات'!$B$7,'الافتراضات'!$B$6))-'الافتراضات'!$B$15*AA13/1000/'الافتراضات'!$B$13*'الافتراضات'!$B$8+'الافتراضات'!$B$15*'الافتراضات'!$B$12,0)</f>
        <v/>
      </c>
      <c r="AI13">
        <f>ROUND(MAX(0,AC13-'الافتراضات'!$B$11)/AH13,1)</f>
        <v/>
      </c>
      <c r="AJ13" t="inlineStr">
        <is>
          <t>BQ-D100 · PMSM 50/100 kW</t>
        </is>
      </c>
      <c r="AK13" t="n">
        <v>8.5</v>
      </c>
    </row>
    <row r="14">
      <c r="A14" s="3" t="inlineStr">
        <is>
          <t>نيسان بيك أب</t>
        </is>
      </c>
      <c r="B14" s="3" t="inlineStr">
        <is>
          <t>1997–2015</t>
        </is>
      </c>
      <c r="C14" s="3" t="inlineStr">
        <is>
          <t>بيك أب</t>
        </is>
      </c>
      <c r="D14" s="3" t="inlineStr">
        <is>
          <t>يدوي</t>
        </is>
      </c>
      <c r="E14" s="3" t="n">
        <v>1550</v>
      </c>
      <c r="F14" s="3" t="n">
        <v>12.5</v>
      </c>
      <c r="G14" s="3" t="n">
        <v>92</v>
      </c>
      <c r="H14" s="3" t="n">
        <v>121.5</v>
      </c>
      <c r="I14" s="5" t="n">
        <v>20821</v>
      </c>
      <c r="J14" s="5" t="n">
        <v>4550</v>
      </c>
      <c r="K14" s="3" t="n">
        <v>457</v>
      </c>
      <c r="L14" s="6">
        <f>ROUND((I14*(1+'الافتراضات'!$B$9)+J14)*'الافتراضات'!$B$4,0)</f>
        <v/>
      </c>
      <c r="M14" s="3" t="n">
        <v>40.5</v>
      </c>
      <c r="N14" s="5" t="n">
        <v>11190</v>
      </c>
      <c r="O14" s="5" t="n">
        <v>1492</v>
      </c>
      <c r="P14" s="5" t="n">
        <v>15600</v>
      </c>
      <c r="Q14" s="3" t="n">
        <v>133</v>
      </c>
      <c r="R14" s="3" t="n">
        <v>205</v>
      </c>
      <c r="S14" s="3" t="n">
        <v>181</v>
      </c>
      <c r="T14" s="6">
        <f>ROUND(N14*(1+'الافتراضات'!$B$9)*'الافتراضات'!$B$4+O14*'الافتراضات'!$B$4+P14+Q14*'الافتراضات'!$B$10,0)</f>
        <v/>
      </c>
      <c r="U14" s="3" t="n">
        <v>121.5</v>
      </c>
      <c r="V14" s="3" t="n">
        <v>14.3</v>
      </c>
      <c r="W14" s="5" t="n">
        <v>19215</v>
      </c>
      <c r="X14" s="5" t="n">
        <v>2023</v>
      </c>
      <c r="Y14" s="5" t="n">
        <v>15600</v>
      </c>
      <c r="Z14" s="3" t="n">
        <v>137</v>
      </c>
      <c r="AA14" s="3" t="n">
        <v>223</v>
      </c>
      <c r="AB14" s="3" t="n">
        <v>555</v>
      </c>
      <c r="AC14" s="6">
        <f>ROUND(W14*(1+'الافتراضات'!$B$9)*'الافتراضات'!$B$4+X14*'الافتراضات'!$B$4+Y14+Z14*'الافتراضات'!$B$10,0)</f>
        <v/>
      </c>
      <c r="AD14" s="7">
        <f>1-T14/L14</f>
        <v/>
      </c>
      <c r="AE14" s="7">
        <f>AB14/K14-1</f>
        <v/>
      </c>
      <c r="AF14" s="6">
        <f>ROUND('الافتراضات'!$B$14*F14/100*IF(G14=80,'الافتراضات'!$B$5,IF(G14=95,'الافتراضات'!$B$7,'الافتراضات'!$B$6))-'الافتراضات'!$B$14*AA14/1000/'الافتراضات'!$B$13*'الافتراضات'!$B$8+'الافتراضات'!$B$14*'الافتراضات'!$B$12,0)</f>
        <v/>
      </c>
      <c r="AG14">
        <f>ROUND(MAX(0,AC14-'الافتراضات'!$B$11)/AF14,1)</f>
        <v/>
      </c>
      <c r="AH14" s="6">
        <f>ROUND('الافتراضات'!$B$15*F14/100*IF(G14=80,'الافتراضات'!$B$5,IF(G14=95,'الافتراضات'!$B$7,'الافتراضات'!$B$6))-'الافتراضات'!$B$15*AA14/1000/'الافتراضات'!$B$13*'الافتراضات'!$B$8+'الافتراضات'!$B$15*'الافتراضات'!$B$12,0)</f>
        <v/>
      </c>
      <c r="AI14">
        <f>ROUND(MAX(0,AC14-'الافتراضات'!$B$11)/AH14,1)</f>
        <v/>
      </c>
      <c r="AJ14" t="inlineStr">
        <is>
          <t>BQ-D150 · PMSM 75/150 kW</t>
        </is>
      </c>
      <c r="AK14" t="n">
        <v>6.7</v>
      </c>
    </row>
    <row r="15">
      <c r="A15" s="3" t="inlineStr">
        <is>
          <t>شيفروليه لانوس</t>
        </is>
      </c>
      <c r="B15" s="3" t="inlineStr">
        <is>
          <t>1997–2016</t>
        </is>
      </c>
      <c r="C15" s="3" t="inlineStr">
        <is>
          <t>هاتشباك وسيدان صغيرة (فئة B)</t>
        </is>
      </c>
      <c r="D15" s="3" t="inlineStr">
        <is>
          <t>يدوي</t>
        </is>
      </c>
      <c r="E15" s="3" t="n">
        <v>1070</v>
      </c>
      <c r="F15" s="3" t="n">
        <v>8.5</v>
      </c>
      <c r="G15" s="3" t="n">
        <v>92</v>
      </c>
      <c r="H15" s="3" t="n">
        <v>40.5</v>
      </c>
      <c r="I15" s="5" t="n">
        <v>11189</v>
      </c>
      <c r="J15" s="5" t="n">
        <v>3640</v>
      </c>
      <c r="K15" s="3" t="n">
        <v>230</v>
      </c>
      <c r="L15" s="6">
        <f>ROUND((I15*(1+'الافتراضات'!$B$9)+J15)*'الافتراضات'!$B$4,0)</f>
        <v/>
      </c>
      <c r="M15" s="3" t="n">
        <v>40.5</v>
      </c>
      <c r="N15" s="5" t="n">
        <v>7790</v>
      </c>
      <c r="O15" s="5" t="n">
        <v>1196</v>
      </c>
      <c r="P15" s="5" t="n">
        <v>15600</v>
      </c>
      <c r="Q15" s="3" t="n">
        <v>103</v>
      </c>
      <c r="R15" s="3" t="n">
        <v>143</v>
      </c>
      <c r="S15" s="3" t="n">
        <v>260</v>
      </c>
      <c r="T15" s="6">
        <f>ROUND(N15*(1+'الافتراضات'!$B$9)*'الافتراضات'!$B$4+O15*'الافتراضات'!$B$4+P15+Q15*'الافتراضات'!$B$10,0)</f>
        <v/>
      </c>
      <c r="U15" s="3" t="n">
        <v>40.5</v>
      </c>
      <c r="V15" s="3" t="n">
        <v>14.3</v>
      </c>
      <c r="W15" s="5" t="n">
        <v>10458</v>
      </c>
      <c r="X15" s="5" t="n">
        <v>1376</v>
      </c>
      <c r="Y15" s="5" t="n">
        <v>15600</v>
      </c>
      <c r="Z15" s="3" t="n">
        <v>107</v>
      </c>
      <c r="AA15" s="3" t="n">
        <v>147</v>
      </c>
      <c r="AB15" s="3" t="n">
        <v>333</v>
      </c>
      <c r="AC15" s="6">
        <f>ROUND(W15*(1+'الافتراضات'!$B$9)*'الافتراضات'!$B$4+X15*'الافتراضات'!$B$4+Y15+Z15*'الافتراضات'!$B$10,0)</f>
        <v/>
      </c>
      <c r="AD15" s="7">
        <f>1-T15/L15</f>
        <v/>
      </c>
      <c r="AE15" s="7">
        <f>AB15/K15-1</f>
        <v/>
      </c>
      <c r="AF15" s="6">
        <f>ROUND('الافتراضات'!$B$14*F15/100*IF(G15=80,'الافتراضات'!$B$5,IF(G15=95,'الافتراضات'!$B$7,'الافتراضات'!$B$6))-'الافتراضات'!$B$14*AA15/1000/'الافتراضات'!$B$13*'الافتراضات'!$B$8+'الافتراضات'!$B$14*'الافتراضات'!$B$12,0)</f>
        <v/>
      </c>
      <c r="AG15">
        <f>ROUND(MAX(0,AC15-'الافتراضات'!$B$11)/AF15,1)</f>
        <v/>
      </c>
      <c r="AH15" s="6">
        <f>ROUND('الافتراضات'!$B$15*F15/100*IF(G15=80,'الافتراضات'!$B$5,IF(G15=95,'الافتراضات'!$B$7,'الافتراضات'!$B$6))-'الافتراضات'!$B$15*AA15/1000/'الافتراضات'!$B$13*'الافتراضات'!$B$8+'الافتراضات'!$B$15*'الافتراضات'!$B$12,0)</f>
        <v/>
      </c>
      <c r="AI15">
        <f>ROUND(MAX(0,AC15-'الافتراضات'!$B$11)/AH15,1)</f>
        <v/>
      </c>
      <c r="AJ15" t="inlineStr">
        <is>
          <t>BQ-D60 · PMSM 32/60 kW</t>
        </is>
      </c>
      <c r="AK15" t="n">
        <v>12.6</v>
      </c>
    </row>
    <row r="16">
      <c r="A16" s="3" t="inlineStr">
        <is>
          <t>شيفروليه أفيو</t>
        </is>
      </c>
      <c r="B16" s="3" t="inlineStr">
        <is>
          <t>2006–2016</t>
        </is>
      </c>
      <c r="C16" s="3" t="inlineStr">
        <is>
          <t>هاتشباك وسيدان صغيرة (فئة B)</t>
        </is>
      </c>
      <c r="D16" s="3" t="inlineStr">
        <is>
          <t>يدوي</t>
        </is>
      </c>
      <c r="E16" s="3" t="n">
        <v>1100</v>
      </c>
      <c r="F16" s="3" t="n">
        <v>8</v>
      </c>
      <c r="G16" s="3" t="n">
        <v>92</v>
      </c>
      <c r="H16" s="3" t="n">
        <v>40.5</v>
      </c>
      <c r="I16" s="5" t="n">
        <v>11189</v>
      </c>
      <c r="J16" s="5" t="n">
        <v>3640</v>
      </c>
      <c r="K16" s="3" t="n">
        <v>228</v>
      </c>
      <c r="L16" s="6">
        <f>ROUND((I16*(1+'الافتراضات'!$B$9)+J16)*'الافتراضات'!$B$4,0)</f>
        <v/>
      </c>
      <c r="M16" s="3" t="n">
        <v>40.5</v>
      </c>
      <c r="N16" s="5" t="n">
        <v>7790</v>
      </c>
      <c r="O16" s="5" t="n">
        <v>1196</v>
      </c>
      <c r="P16" s="5" t="n">
        <v>15600</v>
      </c>
      <c r="Q16" s="3" t="n">
        <v>103</v>
      </c>
      <c r="R16" s="3" t="n">
        <v>145</v>
      </c>
      <c r="S16" s="3" t="n">
        <v>258</v>
      </c>
      <c r="T16" s="6">
        <f>ROUND(N16*(1+'الافتراضات'!$B$9)*'الافتراضات'!$B$4+O16*'الافتراضات'!$B$4+P16+Q16*'الافتراضات'!$B$10,0)</f>
        <v/>
      </c>
      <c r="U16" s="3" t="n">
        <v>40.5</v>
      </c>
      <c r="V16" s="3" t="n">
        <v>14.3</v>
      </c>
      <c r="W16" s="5" t="n">
        <v>10458</v>
      </c>
      <c r="X16" s="5" t="n">
        <v>1376</v>
      </c>
      <c r="Y16" s="5" t="n">
        <v>15600</v>
      </c>
      <c r="Z16" s="3" t="n">
        <v>107</v>
      </c>
      <c r="AA16" s="3" t="n">
        <v>148</v>
      </c>
      <c r="AB16" s="3" t="n">
        <v>331</v>
      </c>
      <c r="AC16" s="6">
        <f>ROUND(W16*(1+'الافتراضات'!$B$9)*'الافتراضات'!$B$4+X16*'الافتراضات'!$B$4+Y16+Z16*'الافتراضات'!$B$10,0)</f>
        <v/>
      </c>
      <c r="AD16" s="7">
        <f>1-T16/L16</f>
        <v/>
      </c>
      <c r="AE16" s="7">
        <f>AB16/K16-1</f>
        <v/>
      </c>
      <c r="AF16" s="6">
        <f>ROUND('الافتراضات'!$B$14*F16/100*IF(G16=80,'الافتراضات'!$B$5,IF(G16=95,'الافتراضات'!$B$7,'الافتراضات'!$B$6))-'الافتراضات'!$B$14*AA16/1000/'الافتراضات'!$B$13*'الافتراضات'!$B$8+'الافتراضات'!$B$14*'الافتراضات'!$B$12,0)</f>
        <v/>
      </c>
      <c r="AG16">
        <f>ROUND(MAX(0,AC16-'الافتراضات'!$B$11)/AF16,1)</f>
        <v/>
      </c>
      <c r="AH16" s="6">
        <f>ROUND('الافتراضات'!$B$15*F16/100*IF(G16=80,'الافتراضات'!$B$5,IF(G16=95,'الافتراضات'!$B$7,'الافتراضات'!$B$6))-'الافتراضات'!$B$15*AA16/1000/'الافتراضات'!$B$13*'الافتراضات'!$B$8+'الافتراضات'!$B$15*'الافتراضات'!$B$12,0)</f>
        <v/>
      </c>
      <c r="AI16">
        <f>ROUND(MAX(0,AC16-'الافتراضات'!$B$11)/AH16,1)</f>
        <v/>
      </c>
      <c r="AJ16" t="inlineStr">
        <is>
          <t>BQ-D60 · PMSM 32/60 kW</t>
        </is>
      </c>
      <c r="AK16" t="n">
        <v>12.9</v>
      </c>
    </row>
    <row r="17">
      <c r="A17" s="3" t="inlineStr">
        <is>
          <t>شيفروليه أوبترا</t>
        </is>
      </c>
      <c r="B17" s="3" t="inlineStr">
        <is>
          <t>2004–2018</t>
        </is>
      </c>
      <c r="C17" s="3" t="inlineStr">
        <is>
          <t>سيدان وهاتشباك متوسطة صغيرة (فئة C)</t>
        </is>
      </c>
      <c r="D17" s="3" t="inlineStr">
        <is>
          <t>يدوي</t>
        </is>
      </c>
      <c r="E17" s="3" t="n">
        <v>1200</v>
      </c>
      <c r="F17" s="3" t="n">
        <v>9</v>
      </c>
      <c r="G17" s="3" t="n">
        <v>92</v>
      </c>
      <c r="H17" s="3" t="n">
        <v>81</v>
      </c>
      <c r="I17" s="5" t="n">
        <v>16590</v>
      </c>
      <c r="J17" s="5" t="n">
        <v>3815</v>
      </c>
      <c r="K17" s="3" t="n">
        <v>419</v>
      </c>
      <c r="L17" s="6">
        <f>ROUND((I17*(1+'الافتراضات'!$B$9)+J17)*'الافتراضات'!$B$4,0)</f>
        <v/>
      </c>
      <c r="M17" s="3" t="n">
        <v>40.5</v>
      </c>
      <c r="N17" s="5" t="n">
        <v>7790</v>
      </c>
      <c r="O17" s="5" t="n">
        <v>1203</v>
      </c>
      <c r="P17" s="5" t="n">
        <v>15600</v>
      </c>
      <c r="Q17" s="3" t="n">
        <v>108</v>
      </c>
      <c r="R17" s="3" t="n">
        <v>150</v>
      </c>
      <c r="S17" s="3" t="n">
        <v>249</v>
      </c>
      <c r="T17" s="6">
        <f>ROUND(N17*(1+'الافتراضات'!$B$9)*'الافتراضات'!$B$4+O17*'الافتراضات'!$B$4+P17+Q17*'الافتراضات'!$B$10,0)</f>
        <v/>
      </c>
      <c r="U17" s="3" t="n">
        <v>81</v>
      </c>
      <c r="V17" s="3" t="n">
        <v>0</v>
      </c>
      <c r="W17" s="5" t="n">
        <v>12120</v>
      </c>
      <c r="X17" s="5" t="n">
        <v>1736</v>
      </c>
      <c r="Y17" s="5" t="n">
        <v>15600</v>
      </c>
      <c r="Z17" s="3" t="n">
        <v>108</v>
      </c>
      <c r="AA17" s="3" t="n">
        <v>157</v>
      </c>
      <c r="AB17" s="3" t="n">
        <v>475</v>
      </c>
      <c r="AC17" s="6">
        <f>ROUND(W17*(1+'الافتراضات'!$B$9)*'الافتراضات'!$B$4+X17*'الافتراضات'!$B$4+Y17+Z17*'الافتراضات'!$B$10,0)</f>
        <v/>
      </c>
      <c r="AD17" s="7">
        <f>1-T17/L17</f>
        <v/>
      </c>
      <c r="AE17" s="7">
        <f>AB17/K17-1</f>
        <v/>
      </c>
      <c r="AF17" s="6">
        <f>ROUND('الافتراضات'!$B$14*F17/100*IF(G17=80,'الافتراضات'!$B$5,IF(G17=95,'الافتراضات'!$B$7,'الافتراضات'!$B$6))-'الافتراضات'!$B$14*AA17/1000/'الافتراضات'!$B$13*'الافتراضات'!$B$8+'الافتراضات'!$B$14*'الافتراضات'!$B$12,0)</f>
        <v/>
      </c>
      <c r="AG17">
        <f>ROUND(MAX(0,AC17-'الافتراضات'!$B$11)/AF17,1)</f>
        <v/>
      </c>
      <c r="AH17" s="6">
        <f>ROUND('الافتراضات'!$B$15*F17/100*IF(G17=80,'الافتراضات'!$B$5,IF(G17=95,'الافتراضات'!$B$7,'الافتراضات'!$B$6))-'الافتراضات'!$B$15*AA17/1000/'الافتراضات'!$B$13*'الافتراضات'!$B$8+'الافتراضات'!$B$15*'الافتراضات'!$B$12,0)</f>
        <v/>
      </c>
      <c r="AI17">
        <f>ROUND(MAX(0,AC17-'الافتراضات'!$B$11)/AH17,1)</f>
        <v/>
      </c>
      <c r="AJ17" t="inlineStr">
        <is>
          <t>BQ-D60 · PMSM 32/60 kW</t>
        </is>
      </c>
      <c r="AK17" t="n">
        <v>13.7</v>
      </c>
    </row>
    <row r="18">
      <c r="A18" s="3" t="inlineStr">
        <is>
          <t>شيفروليه كروز</t>
        </is>
      </c>
      <c r="B18" s="3" t="inlineStr">
        <is>
          <t>2009–2016</t>
        </is>
      </c>
      <c r="C18" s="3" t="inlineStr">
        <is>
          <t>سيدان وهاتشباك متوسطة صغيرة (فئة C)</t>
        </is>
      </c>
      <c r="D18" s="3" t="inlineStr">
        <is>
          <t>أوتوماتيك</t>
        </is>
      </c>
      <c r="E18" s="3" t="n">
        <v>1400</v>
      </c>
      <c r="F18" s="3" t="n">
        <v>9</v>
      </c>
      <c r="G18" s="3" t="n">
        <v>92</v>
      </c>
      <c r="H18" s="3" t="n">
        <v>81</v>
      </c>
      <c r="I18" s="5" t="n">
        <v>16590</v>
      </c>
      <c r="J18" s="5" t="n">
        <v>3815</v>
      </c>
      <c r="K18" s="3" t="n">
        <v>399</v>
      </c>
      <c r="L18" s="6">
        <f>ROUND((I18*(1+'الافتراضات'!$B$9)+J18)*'الافتراضات'!$B$4,0)</f>
        <v/>
      </c>
      <c r="M18" s="3" t="n">
        <v>40.5</v>
      </c>
      <c r="N18" s="5" t="n">
        <v>10390</v>
      </c>
      <c r="O18" s="5" t="n">
        <v>1041</v>
      </c>
      <c r="P18" s="5" t="n">
        <v>15600</v>
      </c>
      <c r="Q18" s="3" t="n">
        <v>112</v>
      </c>
      <c r="R18" s="3" t="n">
        <v>157</v>
      </c>
      <c r="S18" s="3" t="n">
        <v>238</v>
      </c>
      <c r="T18" s="6">
        <f>ROUND(N18*(1+'الافتراضات'!$B$9)*'الافتراضات'!$B$4+O18*'الافتراضات'!$B$4+P18+Q18*'الافتراضات'!$B$10,0)</f>
        <v/>
      </c>
      <c r="U18" s="3" t="n">
        <v>81</v>
      </c>
      <c r="V18" s="3" t="n">
        <v>5.12</v>
      </c>
      <c r="W18" s="5" t="n">
        <v>15582</v>
      </c>
      <c r="X18" s="5" t="n">
        <v>1664</v>
      </c>
      <c r="Y18" s="5" t="n">
        <v>15600</v>
      </c>
      <c r="Z18" s="3" t="n">
        <v>116</v>
      </c>
      <c r="AA18" s="3" t="n">
        <v>165</v>
      </c>
      <c r="AB18" s="3" t="n">
        <v>476</v>
      </c>
      <c r="AC18" s="6">
        <f>ROUND(W18*(1+'الافتراضات'!$B$9)*'الافتراضات'!$B$4+X18*'الافتراضات'!$B$4+Y18+Z18*'الافتراضات'!$B$10,0)</f>
        <v/>
      </c>
      <c r="AD18" s="7">
        <f>1-T18/L18</f>
        <v/>
      </c>
      <c r="AE18" s="7">
        <f>AB18/K18-1</f>
        <v/>
      </c>
      <c r="AF18" s="6">
        <f>ROUND('الافتراضات'!$B$14*F18/100*IF(G18=80,'الافتراضات'!$B$5,IF(G18=95,'الافتراضات'!$B$7,'الافتراضات'!$B$6))-'الافتراضات'!$B$14*AA18/1000/'الافتراضات'!$B$13*'الافتراضات'!$B$8+'الافتراضات'!$B$14*'الافتراضات'!$B$12,0)</f>
        <v/>
      </c>
      <c r="AG18">
        <f>ROUND(MAX(0,AC18-'الافتراضات'!$B$11)/AF18,1)</f>
        <v/>
      </c>
      <c r="AH18" s="6">
        <f>ROUND('الافتراضات'!$B$15*F18/100*IF(G18=80,'الافتراضات'!$B$5,IF(G18=95,'الافتراضات'!$B$7,'الافتراضات'!$B$6))-'الافتراضات'!$B$15*AA18/1000/'الافتراضات'!$B$13*'الافتراضات'!$B$8+'الافتراضات'!$B$15*'الافتراضات'!$B$12,0)</f>
        <v/>
      </c>
      <c r="AI18">
        <f>ROUND(MAX(0,AC18-'الافتراضات'!$B$11)/AH18,1)</f>
        <v/>
      </c>
      <c r="AJ18" t="inlineStr">
        <is>
          <t>BQ-D100 · PMSM 50/100 kW</t>
        </is>
      </c>
      <c r="AK18" t="n">
        <v>9.4</v>
      </c>
    </row>
    <row r="19">
      <c r="A19" s="3" t="inlineStr">
        <is>
          <t>كيا سيراتو</t>
        </is>
      </c>
      <c r="B19" s="3" t="inlineStr">
        <is>
          <t>2009–2018</t>
        </is>
      </c>
      <c r="C19" s="3" t="inlineStr">
        <is>
          <t>سيدان وهاتشباك متوسطة صغيرة (فئة C)</t>
        </is>
      </c>
      <c r="D19" s="3" t="inlineStr">
        <is>
          <t>أوتوماتيك</t>
        </is>
      </c>
      <c r="E19" s="3" t="n">
        <v>1250</v>
      </c>
      <c r="F19" s="3" t="n">
        <v>8.5</v>
      </c>
      <c r="G19" s="3" t="n">
        <v>92</v>
      </c>
      <c r="H19" s="3" t="n">
        <v>81</v>
      </c>
      <c r="I19" s="5" t="n">
        <v>16590</v>
      </c>
      <c r="J19" s="5" t="n">
        <v>3815</v>
      </c>
      <c r="K19" s="3" t="n">
        <v>413</v>
      </c>
      <c r="L19" s="6">
        <f>ROUND((I19*(1+'الافتراضات'!$B$9)+J19)*'الافتراضات'!$B$4,0)</f>
        <v/>
      </c>
      <c r="M19" s="3" t="n">
        <v>40.5</v>
      </c>
      <c r="N19" s="5" t="n">
        <v>10390</v>
      </c>
      <c r="O19" s="5" t="n">
        <v>1041</v>
      </c>
      <c r="P19" s="5" t="n">
        <v>15600</v>
      </c>
      <c r="Q19" s="3" t="n">
        <v>112</v>
      </c>
      <c r="R19" s="3" t="n">
        <v>151</v>
      </c>
      <c r="S19" s="3" t="n">
        <v>246</v>
      </c>
      <c r="T19" s="6">
        <f>ROUND(N19*(1+'الافتراضات'!$B$9)*'الافتراضات'!$B$4+O19*'الافتراضات'!$B$4+P19+Q19*'الافتراضات'!$B$10,0)</f>
        <v/>
      </c>
      <c r="U19" s="3" t="n">
        <v>81</v>
      </c>
      <c r="V19" s="3" t="n">
        <v>5.12</v>
      </c>
      <c r="W19" s="5" t="n">
        <v>15582</v>
      </c>
      <c r="X19" s="5" t="n">
        <v>1664</v>
      </c>
      <c r="Y19" s="5" t="n">
        <v>15600</v>
      </c>
      <c r="Z19" s="3" t="n">
        <v>116</v>
      </c>
      <c r="AA19" s="3" t="n">
        <v>160</v>
      </c>
      <c r="AB19" s="3" t="n">
        <v>493</v>
      </c>
      <c r="AC19" s="6">
        <f>ROUND(W19*(1+'الافتراضات'!$B$9)*'الافتراضات'!$B$4+X19*'الافتراضات'!$B$4+Y19+Z19*'الافتراضات'!$B$10,0)</f>
        <v/>
      </c>
      <c r="AD19" s="7">
        <f>1-T19/L19</f>
        <v/>
      </c>
      <c r="AE19" s="7">
        <f>AB19/K19-1</f>
        <v/>
      </c>
      <c r="AF19" s="6">
        <f>ROUND('الافتراضات'!$B$14*F19/100*IF(G19=80,'الافتراضات'!$B$5,IF(G19=95,'الافتراضات'!$B$7,'الافتراضات'!$B$6))-'الافتراضات'!$B$14*AA19/1000/'الافتراضات'!$B$13*'الافتراضات'!$B$8+'الافتراضات'!$B$14*'الافتراضات'!$B$12,0)</f>
        <v/>
      </c>
      <c r="AG19">
        <f>ROUND(MAX(0,AC19-'الافتراضات'!$B$11)/AF19,1)</f>
        <v/>
      </c>
      <c r="AH19" s="6">
        <f>ROUND('الافتراضات'!$B$15*F19/100*IF(G19=80,'الافتراضات'!$B$5,IF(G19=95,'الافتراضات'!$B$7,'الافتراضات'!$B$6))-'الافتراضات'!$B$15*AA19/1000/'الافتراضات'!$B$13*'الافتراضات'!$B$8+'الافتراضات'!$B$15*'الافتراضات'!$B$12,0)</f>
        <v/>
      </c>
      <c r="AI19">
        <f>ROUND(MAX(0,AC19-'الافتراضات'!$B$11)/AH19,1)</f>
        <v/>
      </c>
      <c r="AJ19" t="inlineStr">
        <is>
          <t>BQ-D100 · PMSM 50/100 kW</t>
        </is>
      </c>
      <c r="AK19" t="n">
        <v>8.5</v>
      </c>
    </row>
    <row r="20">
      <c r="A20" s="3" t="inlineStr">
        <is>
          <t>كيا ريو</t>
        </is>
      </c>
      <c r="B20" s="3" t="inlineStr">
        <is>
          <t>2011–2017</t>
        </is>
      </c>
      <c r="C20" s="3" t="inlineStr">
        <is>
          <t>هاتشباك وسيدان صغيرة (فئة B)</t>
        </is>
      </c>
      <c r="D20" s="3" t="inlineStr">
        <is>
          <t>أوتوماتيك</t>
        </is>
      </c>
      <c r="E20" s="3" t="n">
        <v>1100</v>
      </c>
      <c r="F20" s="3" t="n">
        <v>7.5</v>
      </c>
      <c r="G20" s="3" t="n">
        <v>92</v>
      </c>
      <c r="H20" s="3" t="n">
        <v>40.5</v>
      </c>
      <c r="I20" s="5" t="n">
        <v>11189</v>
      </c>
      <c r="J20" s="5" t="n">
        <v>3640</v>
      </c>
      <c r="K20" s="3" t="n">
        <v>228</v>
      </c>
      <c r="L20" s="6">
        <f>ROUND((I20*(1+'الافتراضات'!$B$9)+J20)*'الافتراضات'!$B$4,0)</f>
        <v/>
      </c>
      <c r="M20" s="3" t="n">
        <v>40.5</v>
      </c>
      <c r="N20" s="5" t="n">
        <v>8690</v>
      </c>
      <c r="O20" s="5" t="n">
        <v>1034</v>
      </c>
      <c r="P20" s="5" t="n">
        <v>15600</v>
      </c>
      <c r="Q20" s="3" t="n">
        <v>107</v>
      </c>
      <c r="R20" s="3" t="n">
        <v>144</v>
      </c>
      <c r="S20" s="3" t="n">
        <v>259</v>
      </c>
      <c r="T20" s="6">
        <f>ROUND(N20*(1+'الافتراضات'!$B$9)*'الافتراضات'!$B$4+O20*'الافتراضات'!$B$4+P20+Q20*'الافتراضات'!$B$10,0)</f>
        <v/>
      </c>
      <c r="U20" s="3" t="n">
        <v>40.5</v>
      </c>
      <c r="V20" s="3" t="n">
        <v>14.3</v>
      </c>
      <c r="W20" s="5" t="n">
        <v>11358</v>
      </c>
      <c r="X20" s="5" t="n">
        <v>1214</v>
      </c>
      <c r="Y20" s="5" t="n">
        <v>15600</v>
      </c>
      <c r="Z20" s="3" t="n">
        <v>111</v>
      </c>
      <c r="AA20" s="3" t="n">
        <v>147</v>
      </c>
      <c r="AB20" s="3" t="n">
        <v>333</v>
      </c>
      <c r="AC20" s="6">
        <f>ROUND(W20*(1+'الافتراضات'!$B$9)*'الافتراضات'!$B$4+X20*'الافتراضات'!$B$4+Y20+Z20*'الافتراضات'!$B$10,0)</f>
        <v/>
      </c>
      <c r="AD20" s="7">
        <f>1-T20/L20</f>
        <v/>
      </c>
      <c r="AE20" s="7">
        <f>AB20/K20-1</f>
        <v/>
      </c>
      <c r="AF20" s="6">
        <f>ROUND('الافتراضات'!$B$14*F20/100*IF(G20=80,'الافتراضات'!$B$5,IF(G20=95,'الافتراضات'!$B$7,'الافتراضات'!$B$6))-'الافتراضات'!$B$14*AA20/1000/'الافتراضات'!$B$13*'الافتراضات'!$B$8+'الافتراضات'!$B$14*'الافتراضات'!$B$12,0)</f>
        <v/>
      </c>
      <c r="AG20">
        <f>ROUND(MAX(0,AC20-'الافتراضات'!$B$11)/AF20,1)</f>
        <v/>
      </c>
      <c r="AH20" s="6">
        <f>ROUND('الافتراضات'!$B$15*F20/100*IF(G20=80,'الافتراضات'!$B$5,IF(G20=95,'الافتراضات'!$B$7,'الافتراضات'!$B$6))-'الافتراضات'!$B$15*AA20/1000/'الافتراضات'!$B$13*'الافتراضات'!$B$8+'الافتراضات'!$B$15*'الافتراضات'!$B$12,0)</f>
        <v/>
      </c>
      <c r="AI20">
        <f>ROUND(MAX(0,AC20-'الافتراضات'!$B$11)/AH20,1)</f>
        <v/>
      </c>
      <c r="AJ20" t="inlineStr">
        <is>
          <t>BQ-D60 · PMSM 32/60 kW</t>
        </is>
      </c>
      <c r="AK20" t="n">
        <v>12.7</v>
      </c>
    </row>
    <row r="21">
      <c r="A21" s="3" t="inlineStr">
        <is>
          <t>كيا بيكانتو</t>
        </is>
      </c>
      <c r="B21" s="3" t="inlineStr">
        <is>
          <t>2011–2026</t>
        </is>
      </c>
      <c r="C21" s="3" t="inlineStr">
        <is>
          <t>صغيرة (فئة A)</t>
        </is>
      </c>
      <c r="D21" s="3" t="inlineStr">
        <is>
          <t>يدوي</t>
        </is>
      </c>
      <c r="E21" s="3" t="n">
        <v>900</v>
      </c>
      <c r="F21" s="3" t="n">
        <v>6</v>
      </c>
      <c r="G21" s="3" t="n">
        <v>92</v>
      </c>
      <c r="H21" s="3" t="n">
        <v>40.5</v>
      </c>
      <c r="I21" s="5" t="n">
        <v>11184</v>
      </c>
      <c r="J21" s="5" t="n">
        <v>3465</v>
      </c>
      <c r="K21" s="3" t="n">
        <v>243</v>
      </c>
      <c r="L21" s="6">
        <f>ROUND((I21*(1+'الافتراضات'!$B$9)+J21)*'الافتراضات'!$B$4,0)</f>
        <v/>
      </c>
      <c r="M21" s="3" t="n">
        <v>40.5</v>
      </c>
      <c r="N21" s="5" t="n">
        <v>7790</v>
      </c>
      <c r="O21" s="5" t="n">
        <v>1648</v>
      </c>
      <c r="P21" s="5" t="n">
        <v>15600</v>
      </c>
      <c r="Q21" s="3" t="n">
        <v>98</v>
      </c>
      <c r="R21" s="3" t="n">
        <v>136</v>
      </c>
      <c r="S21" s="3" t="n">
        <v>275</v>
      </c>
      <c r="T21" s="6">
        <f>ROUND(N21*(1+'الافتراضات'!$B$9)*'الافتراضات'!$B$4+O21*'الافتراضات'!$B$4+P21+Q21*'الافتراضات'!$B$10,0)</f>
        <v/>
      </c>
      <c r="U21" s="3" t="n">
        <v>40.5</v>
      </c>
      <c r="V21" s="3" t="n">
        <v>5.12</v>
      </c>
      <c r="W21" s="5" t="n">
        <v>10352</v>
      </c>
      <c r="X21" s="5" t="n">
        <v>1738</v>
      </c>
      <c r="Y21" s="5" t="n">
        <v>15600</v>
      </c>
      <c r="Z21" s="3" t="n">
        <v>102</v>
      </c>
      <c r="AA21" s="3" t="n">
        <v>137</v>
      </c>
      <c r="AB21" s="3" t="n">
        <v>302</v>
      </c>
      <c r="AC21" s="6">
        <f>ROUND(W21*(1+'الافتراضات'!$B$9)*'الافتراضات'!$B$4+X21*'الافتراضات'!$B$4+Y21+Z21*'الافتراضات'!$B$10,0)</f>
        <v/>
      </c>
      <c r="AD21" s="7">
        <f>1-T21/L21</f>
        <v/>
      </c>
      <c r="AE21" s="7">
        <f>AB21/K21-1</f>
        <v/>
      </c>
      <c r="AF21" s="6">
        <f>ROUND('الافتراضات'!$B$14*F21/100*IF(G21=80,'الافتراضات'!$B$5,IF(G21=95,'الافتراضات'!$B$7,'الافتراضات'!$B$6))-'الافتراضات'!$B$14*AA21/1000/'الافتراضات'!$B$13*'الافتراضات'!$B$8+'الافتراضات'!$B$14*'الافتراضات'!$B$12,0)</f>
        <v/>
      </c>
      <c r="AG21">
        <f>ROUND(MAX(0,AC21-'الافتراضات'!$B$11)/AF21,1)</f>
        <v/>
      </c>
      <c r="AH21" s="6">
        <f>ROUND('الافتراضات'!$B$15*F21/100*IF(G21=80,'الافتراضات'!$B$5,IF(G21=95,'الافتراضات'!$B$7,'الافتراضات'!$B$6))-'الافتراضات'!$B$15*AA21/1000/'الافتراضات'!$B$13*'الافتراضات'!$B$8+'الافتراضات'!$B$15*'الافتراضات'!$B$12,0)</f>
        <v/>
      </c>
      <c r="AI21">
        <f>ROUND(MAX(0,AC21-'الافتراضات'!$B$11)/AH21,1)</f>
        <v/>
      </c>
      <c r="AJ21" t="inlineStr">
        <is>
          <t>BQ-D60 · PMSM 32/60 kW</t>
        </is>
      </c>
      <c r="AK21" t="n">
        <v>11.1</v>
      </c>
    </row>
    <row r="22">
      <c r="A22" s="3" t="inlineStr">
        <is>
          <t>كيا سبورتاج</t>
        </is>
      </c>
      <c r="B22" s="3" t="inlineStr">
        <is>
          <t>2016–2021</t>
        </is>
      </c>
      <c r="C22" s="3" t="inlineStr">
        <is>
          <t>SUV متوسطة</t>
        </is>
      </c>
      <c r="D22" s="3" t="inlineStr">
        <is>
          <t>أوتوماتيك</t>
        </is>
      </c>
      <c r="E22" s="3" t="n">
        <v>1500</v>
      </c>
      <c r="F22" s="3" t="n">
        <v>10</v>
      </c>
      <c r="G22" s="3" t="n">
        <v>92</v>
      </c>
      <c r="H22" s="3" t="n">
        <v>81</v>
      </c>
      <c r="I22" s="5" t="n">
        <v>16201</v>
      </c>
      <c r="J22" s="5" t="n">
        <v>4165</v>
      </c>
      <c r="K22" s="3" t="n">
        <v>344</v>
      </c>
      <c r="L22" s="6">
        <f>ROUND((I22*(1+'الافتراضات'!$B$9)+J22)*'الافتراضات'!$B$4,0)</f>
        <v/>
      </c>
      <c r="M22" s="3" t="n">
        <v>40.5</v>
      </c>
      <c r="N22" s="5" t="n">
        <v>10390</v>
      </c>
      <c r="O22" s="5" t="n">
        <v>1048</v>
      </c>
      <c r="P22" s="5" t="n">
        <v>15600</v>
      </c>
      <c r="Q22" s="3" t="n">
        <v>122</v>
      </c>
      <c r="R22" s="3" t="n">
        <v>186</v>
      </c>
      <c r="S22" s="3" t="n">
        <v>200</v>
      </c>
      <c r="T22" s="6">
        <f>ROUND(N22*(1+'الافتراضات'!$B$9)*'الافتراضات'!$B$4+O22*'الافتراضات'!$B$4+P22+Q22*'الافتراضات'!$B$10,0)</f>
        <v/>
      </c>
      <c r="U22" s="3" t="n">
        <v>81</v>
      </c>
      <c r="V22" s="3" t="n">
        <v>14.3</v>
      </c>
      <c r="W22" s="5" t="n">
        <v>15688</v>
      </c>
      <c r="X22" s="5" t="n">
        <v>1501</v>
      </c>
      <c r="Y22" s="5" t="n">
        <v>15600</v>
      </c>
      <c r="Z22" s="3" t="n">
        <v>126</v>
      </c>
      <c r="AA22" s="3" t="n">
        <v>197</v>
      </c>
      <c r="AB22" s="3" t="n">
        <v>439</v>
      </c>
      <c r="AC22" s="6">
        <f>ROUND(W22*(1+'الافتراضات'!$B$9)*'الافتراضات'!$B$4+X22*'الافتراضات'!$B$4+Y22+Z22*'الافتراضات'!$B$10,0)</f>
        <v/>
      </c>
      <c r="AD22" s="7">
        <f>1-T22/L22</f>
        <v/>
      </c>
      <c r="AE22" s="7">
        <f>AB22/K22-1</f>
        <v/>
      </c>
      <c r="AF22" s="6">
        <f>ROUND('الافتراضات'!$B$14*F22/100*IF(G22=80,'الافتراضات'!$B$5,IF(G22=95,'الافتراضات'!$B$7,'الافتراضات'!$B$6))-'الافتراضات'!$B$14*AA22/1000/'الافتراضات'!$B$13*'الافتراضات'!$B$8+'الافتراضات'!$B$14*'الافتراضات'!$B$12,0)</f>
        <v/>
      </c>
      <c r="AG22">
        <f>ROUND(MAX(0,AC22-'الافتراضات'!$B$11)/AF22,1)</f>
        <v/>
      </c>
      <c r="AH22" s="6">
        <f>ROUND('الافتراضات'!$B$15*F22/100*IF(G22=80,'الافتراضات'!$B$5,IF(G22=95,'الافتراضات'!$B$7,'الافتراضات'!$B$6))-'الافتراضات'!$B$15*AA22/1000/'الافتراضات'!$B$13*'الافتراضات'!$B$8+'الافتراضات'!$B$15*'الافتراضات'!$B$12,0)</f>
        <v/>
      </c>
      <c r="AI22">
        <f>ROUND(MAX(0,AC22-'الافتراضات'!$B$11)/AH22,1)</f>
        <v/>
      </c>
      <c r="AJ22" t="inlineStr">
        <is>
          <t>BQ-D100 · PMSM 50/100 kW</t>
        </is>
      </c>
      <c r="AK22" t="n">
        <v>9.699999999999999</v>
      </c>
    </row>
    <row r="23">
      <c r="A23" s="3" t="inlineStr">
        <is>
          <t>تويوتا كورولا E140 / E150</t>
        </is>
      </c>
      <c r="B23" s="3" t="inlineStr">
        <is>
          <t>2007–2013</t>
        </is>
      </c>
      <c r="C23" s="3" t="inlineStr">
        <is>
          <t>سيدان وهاتشباك متوسطة صغيرة (فئة C)</t>
        </is>
      </c>
      <c r="D23" s="3" t="inlineStr">
        <is>
          <t>أوتوماتيك</t>
        </is>
      </c>
      <c r="E23" s="3" t="n">
        <v>1265</v>
      </c>
      <c r="F23" s="3" t="n">
        <v>8.5</v>
      </c>
      <c r="G23" s="3" t="n">
        <v>92</v>
      </c>
      <c r="H23" s="3" t="n">
        <v>81</v>
      </c>
      <c r="I23" s="5" t="n">
        <v>16590</v>
      </c>
      <c r="J23" s="5" t="n">
        <v>3815</v>
      </c>
      <c r="K23" s="3" t="n">
        <v>412</v>
      </c>
      <c r="L23" s="6">
        <f>ROUND((I23*(1+'الافتراضات'!$B$9)+J23)*'الافتراضات'!$B$4,0)</f>
        <v/>
      </c>
      <c r="M23" s="3" t="n">
        <v>40.5</v>
      </c>
      <c r="N23" s="5" t="n">
        <v>10390</v>
      </c>
      <c r="O23" s="5" t="n">
        <v>1041</v>
      </c>
      <c r="P23" s="5" t="n">
        <v>15600</v>
      </c>
      <c r="Q23" s="3" t="n">
        <v>112</v>
      </c>
      <c r="R23" s="3" t="n">
        <v>152</v>
      </c>
      <c r="S23" s="3" t="n">
        <v>246</v>
      </c>
      <c r="T23" s="6">
        <f>ROUND(N23*(1+'الافتراضات'!$B$9)*'الافتراضات'!$B$4+O23*'الافتراضات'!$B$4+P23+Q23*'الافتراضات'!$B$10,0)</f>
        <v/>
      </c>
      <c r="U23" s="3" t="n">
        <v>81</v>
      </c>
      <c r="V23" s="3" t="n">
        <v>5.12</v>
      </c>
      <c r="W23" s="5" t="n">
        <v>15582</v>
      </c>
      <c r="X23" s="5" t="n">
        <v>1664</v>
      </c>
      <c r="Y23" s="5" t="n">
        <v>15600</v>
      </c>
      <c r="Z23" s="3" t="n">
        <v>116</v>
      </c>
      <c r="AA23" s="3" t="n">
        <v>160</v>
      </c>
      <c r="AB23" s="3" t="n">
        <v>491</v>
      </c>
      <c r="AC23" s="6">
        <f>ROUND(W23*(1+'الافتراضات'!$B$9)*'الافتراضات'!$B$4+X23*'الافتراضات'!$B$4+Y23+Z23*'الافتراضات'!$B$10,0)</f>
        <v/>
      </c>
      <c r="AD23" s="7">
        <f>1-T23/L23</f>
        <v/>
      </c>
      <c r="AE23" s="7">
        <f>AB23/K23-1</f>
        <v/>
      </c>
      <c r="AF23" s="6">
        <f>ROUND('الافتراضات'!$B$14*F23/100*IF(G23=80,'الافتراضات'!$B$5,IF(G23=95,'الافتراضات'!$B$7,'الافتراضات'!$B$6))-'الافتراضات'!$B$14*AA23/1000/'الافتراضات'!$B$13*'الافتراضات'!$B$8+'الافتراضات'!$B$14*'الافتراضات'!$B$12,0)</f>
        <v/>
      </c>
      <c r="AG23">
        <f>ROUND(MAX(0,AC23-'الافتراضات'!$B$11)/AF23,1)</f>
        <v/>
      </c>
      <c r="AH23" s="6">
        <f>ROUND('الافتراضات'!$B$15*F23/100*IF(G23=80,'الافتراضات'!$B$5,IF(G23=95,'الافتراضات'!$B$7,'الافتراضات'!$B$6))-'الافتراضات'!$B$15*AA23/1000/'الافتراضات'!$B$13*'الافتراضات'!$B$8+'الافتراضات'!$B$15*'الافتراضات'!$B$12,0)</f>
        <v/>
      </c>
      <c r="AI23">
        <f>ROUND(MAX(0,AC23-'الافتراضات'!$B$11)/AH23,1)</f>
        <v/>
      </c>
      <c r="AJ23" t="inlineStr">
        <is>
          <t>BQ-D100 · PMSM 50/100 kW</t>
        </is>
      </c>
      <c r="AK23" t="n">
        <v>8.6</v>
      </c>
    </row>
    <row r="24">
      <c r="A24" s="3" t="inlineStr">
        <is>
          <t>تويوتا كورولا E170</t>
        </is>
      </c>
      <c r="B24" s="3" t="inlineStr">
        <is>
          <t>2014–2019</t>
        </is>
      </c>
      <c r="C24" s="3" t="inlineStr">
        <is>
          <t>سيدان وهاتشباك متوسطة صغيرة (فئة C)</t>
        </is>
      </c>
      <c r="D24" s="3" t="inlineStr">
        <is>
          <t>أوتوماتيك</t>
        </is>
      </c>
      <c r="E24" s="3" t="n">
        <v>1275</v>
      </c>
      <c r="F24" s="3" t="n">
        <v>8</v>
      </c>
      <c r="G24" s="3" t="n">
        <v>92</v>
      </c>
      <c r="H24" s="3" t="n">
        <v>81</v>
      </c>
      <c r="I24" s="5" t="n">
        <v>16590</v>
      </c>
      <c r="J24" s="5" t="n">
        <v>3815</v>
      </c>
      <c r="K24" s="3" t="n">
        <v>411</v>
      </c>
      <c r="L24" s="6">
        <f>ROUND((I24*(1+'الافتراضات'!$B$9)+J24)*'الافتراضات'!$B$4,0)</f>
        <v/>
      </c>
      <c r="M24" s="3" t="n">
        <v>40.5</v>
      </c>
      <c r="N24" s="5" t="n">
        <v>10390</v>
      </c>
      <c r="O24" s="5" t="n">
        <v>1041</v>
      </c>
      <c r="P24" s="5" t="n">
        <v>15600</v>
      </c>
      <c r="Q24" s="3" t="n">
        <v>112</v>
      </c>
      <c r="R24" s="3" t="n">
        <v>152</v>
      </c>
      <c r="S24" s="3" t="n">
        <v>245</v>
      </c>
      <c r="T24" s="6">
        <f>ROUND(N24*(1+'الافتراضات'!$B$9)*'الافتراضات'!$B$4+O24*'الافتراضات'!$B$4+P24+Q24*'الافتراضات'!$B$10,0)</f>
        <v/>
      </c>
      <c r="U24" s="3" t="n">
        <v>81</v>
      </c>
      <c r="V24" s="3" t="n">
        <v>5.12</v>
      </c>
      <c r="W24" s="5" t="n">
        <v>15582</v>
      </c>
      <c r="X24" s="5" t="n">
        <v>1664</v>
      </c>
      <c r="Y24" s="5" t="n">
        <v>15600</v>
      </c>
      <c r="Z24" s="3" t="n">
        <v>116</v>
      </c>
      <c r="AA24" s="3" t="n">
        <v>161</v>
      </c>
      <c r="AB24" s="3" t="n">
        <v>490</v>
      </c>
      <c r="AC24" s="6">
        <f>ROUND(W24*(1+'الافتراضات'!$B$9)*'الافتراضات'!$B$4+X24*'الافتراضات'!$B$4+Y24+Z24*'الافتراضات'!$B$10,0)</f>
        <v/>
      </c>
      <c r="AD24" s="7">
        <f>1-T24/L24</f>
        <v/>
      </c>
      <c r="AE24" s="7">
        <f>AB24/K24-1</f>
        <v/>
      </c>
      <c r="AF24" s="6">
        <f>ROUND('الافتراضات'!$B$14*F24/100*IF(G24=80,'الافتراضات'!$B$5,IF(G24=95,'الافتراضات'!$B$7,'الافتراضات'!$B$6))-'الافتراضات'!$B$14*AA24/1000/'الافتراضات'!$B$13*'الافتراضات'!$B$8+'الافتراضات'!$B$14*'الافتراضات'!$B$12,0)</f>
        <v/>
      </c>
      <c r="AG24">
        <f>ROUND(MAX(0,AC24-'الافتراضات'!$B$11)/AF24,1)</f>
        <v/>
      </c>
      <c r="AH24" s="6">
        <f>ROUND('الافتراضات'!$B$15*F24/100*IF(G24=80,'الافتراضات'!$B$5,IF(G24=95,'الافتراضات'!$B$7,'الافتراضات'!$B$6))-'الافتراضات'!$B$15*AA24/1000/'الافتراضات'!$B$13*'الافتراضات'!$B$8+'الافتراضات'!$B$15*'الافتراضات'!$B$12,0)</f>
        <v/>
      </c>
      <c r="AI24">
        <f>ROUND(MAX(0,AC24-'الافتراضات'!$B$11)/AH24,1)</f>
        <v/>
      </c>
      <c r="AJ24" t="inlineStr">
        <is>
          <t>BQ-D100 · PMSM 50/100 kW</t>
        </is>
      </c>
      <c r="AK24" t="n">
        <v>8.6</v>
      </c>
    </row>
    <row r="25">
      <c r="A25" s="3" t="inlineStr">
        <is>
          <t>تويوتا كورولا E210</t>
        </is>
      </c>
      <c r="B25" s="3" t="inlineStr">
        <is>
          <t>2020–2026</t>
        </is>
      </c>
      <c r="C25" s="3" t="inlineStr">
        <is>
          <t>سيدان وهاتشباك متوسطة صغيرة (فئة C)</t>
        </is>
      </c>
      <c r="D25" s="3" t="inlineStr">
        <is>
          <t>أوتوماتيك</t>
        </is>
      </c>
      <c r="E25" s="3" t="n">
        <v>1310</v>
      </c>
      <c r="F25" s="3" t="n">
        <v>7.5</v>
      </c>
      <c r="G25" s="3" t="n">
        <v>92</v>
      </c>
      <c r="H25" s="3" t="n">
        <v>81</v>
      </c>
      <c r="I25" s="5" t="n">
        <v>16590</v>
      </c>
      <c r="J25" s="5" t="n">
        <v>3815</v>
      </c>
      <c r="K25" s="3" t="n">
        <v>407</v>
      </c>
      <c r="L25" s="6">
        <f>ROUND((I25*(1+'الافتراضات'!$B$9)+J25)*'الافتراضات'!$B$4,0)</f>
        <v/>
      </c>
      <c r="M25" s="3" t="n">
        <v>40.5</v>
      </c>
      <c r="N25" s="5" t="n">
        <v>10390</v>
      </c>
      <c r="O25" s="5" t="n">
        <v>1041</v>
      </c>
      <c r="P25" s="5" t="n">
        <v>15600</v>
      </c>
      <c r="Q25" s="3" t="n">
        <v>112</v>
      </c>
      <c r="R25" s="3" t="n">
        <v>153</v>
      </c>
      <c r="S25" s="3" t="n">
        <v>243</v>
      </c>
      <c r="T25" s="6">
        <f>ROUND(N25*(1+'الافتراضات'!$B$9)*'الافتراضات'!$B$4+O25*'الافتراضات'!$B$4+P25+Q25*'الافتراضات'!$B$10,0)</f>
        <v/>
      </c>
      <c r="U25" s="3" t="n">
        <v>81</v>
      </c>
      <c r="V25" s="3" t="n">
        <v>5.12</v>
      </c>
      <c r="W25" s="5" t="n">
        <v>15582</v>
      </c>
      <c r="X25" s="5" t="n">
        <v>1664</v>
      </c>
      <c r="Y25" s="5" t="n">
        <v>15600</v>
      </c>
      <c r="Z25" s="3" t="n">
        <v>116</v>
      </c>
      <c r="AA25" s="3" t="n">
        <v>162</v>
      </c>
      <c r="AB25" s="3" t="n">
        <v>486</v>
      </c>
      <c r="AC25" s="6">
        <f>ROUND(W25*(1+'الافتراضات'!$B$9)*'الافتراضات'!$B$4+X25*'الافتراضات'!$B$4+Y25+Z25*'الافتراضات'!$B$10,0)</f>
        <v/>
      </c>
      <c r="AD25" s="7">
        <f>1-T25/L25</f>
        <v/>
      </c>
      <c r="AE25" s="7">
        <f>AB25/K25-1</f>
        <v/>
      </c>
      <c r="AF25" s="6">
        <f>ROUND('الافتراضات'!$B$14*F25/100*IF(G25=80,'الافتراضات'!$B$5,IF(G25=95,'الافتراضات'!$B$7,'الافتراضات'!$B$6))-'الافتراضات'!$B$14*AA25/1000/'الافتراضات'!$B$13*'الافتراضات'!$B$8+'الافتراضات'!$B$14*'الافتراضات'!$B$12,0)</f>
        <v/>
      </c>
      <c r="AG25">
        <f>ROUND(MAX(0,AC25-'الافتراضات'!$B$11)/AF25,1)</f>
        <v/>
      </c>
      <c r="AH25" s="6">
        <f>ROUND('الافتراضات'!$B$15*F25/100*IF(G25=80,'الافتراضات'!$B$5,IF(G25=95,'الافتراضات'!$B$7,'الافتراضات'!$B$6))-'الافتراضات'!$B$15*AA25/1000/'الافتراضات'!$B$13*'الافتراضات'!$B$8+'الافتراضات'!$B$15*'الافتراضات'!$B$12,0)</f>
        <v/>
      </c>
      <c r="AI25">
        <f>ROUND(MAX(0,AC25-'الافتراضات'!$B$11)/AH25,1)</f>
        <v/>
      </c>
      <c r="AJ25" t="inlineStr">
        <is>
          <t>BQ-D100 · PMSM 50/100 kW</t>
        </is>
      </c>
      <c r="AK25" t="n">
        <v>8.800000000000001</v>
      </c>
    </row>
    <row r="26">
      <c r="A26" s="3" t="inlineStr">
        <is>
          <t>تويوتا ياريس</t>
        </is>
      </c>
      <c r="B26" s="3" t="inlineStr">
        <is>
          <t>2006–2013</t>
        </is>
      </c>
      <c r="C26" s="3" t="inlineStr">
        <is>
          <t>هاتشباك وسيدان صغيرة (فئة B)</t>
        </is>
      </c>
      <c r="D26" s="3" t="inlineStr">
        <is>
          <t>أوتوماتيك</t>
        </is>
      </c>
      <c r="E26" s="3" t="n">
        <v>1050</v>
      </c>
      <c r="F26" s="3" t="n">
        <v>7</v>
      </c>
      <c r="G26" s="3" t="n">
        <v>92</v>
      </c>
      <c r="H26" s="3" t="n">
        <v>40.5</v>
      </c>
      <c r="I26" s="5" t="n">
        <v>11189</v>
      </c>
      <c r="J26" s="5" t="n">
        <v>3640</v>
      </c>
      <c r="K26" s="3" t="n">
        <v>231</v>
      </c>
      <c r="L26" s="6">
        <f>ROUND((I26*(1+'الافتراضات'!$B$9)+J26)*'الافتراضات'!$B$4,0)</f>
        <v/>
      </c>
      <c r="M26" s="3" t="n">
        <v>40.5</v>
      </c>
      <c r="N26" s="5" t="n">
        <v>8690</v>
      </c>
      <c r="O26" s="5" t="n">
        <v>1034</v>
      </c>
      <c r="P26" s="5" t="n">
        <v>15600</v>
      </c>
      <c r="Q26" s="3" t="n">
        <v>107</v>
      </c>
      <c r="R26" s="3" t="n">
        <v>142</v>
      </c>
      <c r="S26" s="3" t="n">
        <v>263</v>
      </c>
      <c r="T26" s="6">
        <f>ROUND(N26*(1+'الافتراضات'!$B$9)*'الافتراضات'!$B$4+O26*'الافتراضات'!$B$4+P26+Q26*'الافتراضات'!$B$10,0)</f>
        <v/>
      </c>
      <c r="U26" s="3" t="n">
        <v>40.5</v>
      </c>
      <c r="V26" s="3" t="n">
        <v>14.3</v>
      </c>
      <c r="W26" s="5" t="n">
        <v>11358</v>
      </c>
      <c r="X26" s="5" t="n">
        <v>1214</v>
      </c>
      <c r="Y26" s="5" t="n">
        <v>15600</v>
      </c>
      <c r="Z26" s="3" t="n">
        <v>111</v>
      </c>
      <c r="AA26" s="3" t="n">
        <v>146</v>
      </c>
      <c r="AB26" s="3" t="n">
        <v>337</v>
      </c>
      <c r="AC26" s="6">
        <f>ROUND(W26*(1+'الافتراضات'!$B$9)*'الافتراضات'!$B$4+X26*'الافتراضات'!$B$4+Y26+Z26*'الافتراضات'!$B$10,0)</f>
        <v/>
      </c>
      <c r="AD26" s="7">
        <f>1-T26/L26</f>
        <v/>
      </c>
      <c r="AE26" s="7">
        <f>AB26/K26-1</f>
        <v/>
      </c>
      <c r="AF26" s="6">
        <f>ROUND('الافتراضات'!$B$14*F26/100*IF(G26=80,'الافتراضات'!$B$5,IF(G26=95,'الافتراضات'!$B$7,'الافتراضات'!$B$6))-'الافتراضات'!$B$14*AA26/1000/'الافتراضات'!$B$13*'الافتراضات'!$B$8+'الافتراضات'!$B$14*'الافتراضات'!$B$12,0)</f>
        <v/>
      </c>
      <c r="AG26">
        <f>ROUND(MAX(0,AC26-'الافتراضات'!$B$11)/AF26,1)</f>
        <v/>
      </c>
      <c r="AH26" s="6">
        <f>ROUND('الافتراضات'!$B$15*F26/100*IF(G26=80,'الافتراضات'!$B$5,IF(G26=95,'الافتراضات'!$B$7,'الافتراضات'!$B$6))-'الافتراضات'!$B$15*AA26/1000/'الافتراضات'!$B$13*'الافتراضات'!$B$8+'الافتراضات'!$B$15*'الافتراضات'!$B$12,0)</f>
        <v/>
      </c>
      <c r="AI26">
        <f>ROUND(MAX(0,AC26-'الافتراضات'!$B$11)/AH26,1)</f>
        <v/>
      </c>
      <c r="AJ26" t="inlineStr">
        <is>
          <t>BQ-D60 · PMSM 32/60 kW</t>
        </is>
      </c>
      <c r="AK26" t="n">
        <v>12.2</v>
      </c>
    </row>
    <row r="27">
      <c r="A27" s="3" t="inlineStr">
        <is>
          <t>تويوتا هايس (ميكروباص)</t>
        </is>
      </c>
      <c r="B27" s="3" t="inlineStr">
        <is>
          <t>2005–2026</t>
        </is>
      </c>
      <c r="C27" s="3" t="inlineStr">
        <is>
          <t>فان ونقل ركاب</t>
        </is>
      </c>
      <c r="D27" s="3" t="inlineStr">
        <is>
          <t>يدوي</t>
        </is>
      </c>
      <c r="E27" s="3" t="n">
        <v>1950</v>
      </c>
      <c r="F27" s="3" t="n">
        <v>12.5</v>
      </c>
      <c r="G27" s="3" t="n">
        <v>92</v>
      </c>
      <c r="H27" s="3" t="n">
        <v>121.5</v>
      </c>
      <c r="I27" s="5" t="n">
        <v>20827</v>
      </c>
      <c r="J27" s="5" t="n">
        <v>4725</v>
      </c>
      <c r="K27" s="3" t="n">
        <v>406</v>
      </c>
      <c r="L27" s="6">
        <f>ROUND((I27*(1+'الافتراضات'!$B$9)+J27)*'الافتراضات'!$B$4,0)</f>
        <v/>
      </c>
      <c r="M27" s="3" t="n">
        <v>40.5</v>
      </c>
      <c r="N27" s="5" t="n">
        <v>11190</v>
      </c>
      <c r="O27" s="5" t="n">
        <v>1496</v>
      </c>
      <c r="P27" s="5" t="n">
        <v>15600</v>
      </c>
      <c r="Q27" s="3" t="n">
        <v>138</v>
      </c>
      <c r="R27" s="3" t="n">
        <v>233</v>
      </c>
      <c r="S27" s="3" t="n">
        <v>160</v>
      </c>
      <c r="T27" s="6">
        <f>ROUND(N27*(1+'الافتراضات'!$B$9)*'الافتراضات'!$B$4+O27*'الافتراضات'!$B$4+P27+Q27*'الافتراضات'!$B$10,0)</f>
        <v/>
      </c>
      <c r="U27" s="3" t="n">
        <v>121.5</v>
      </c>
      <c r="V27" s="3" t="n">
        <v>14.3</v>
      </c>
      <c r="W27" s="5" t="n">
        <v>19215</v>
      </c>
      <c r="X27" s="5" t="n">
        <v>2027</v>
      </c>
      <c r="Y27" s="5" t="n">
        <v>15600</v>
      </c>
      <c r="Z27" s="3" t="n">
        <v>142</v>
      </c>
      <c r="AA27" s="3" t="n">
        <v>250</v>
      </c>
      <c r="AB27" s="3" t="n">
        <v>494</v>
      </c>
      <c r="AC27" s="6">
        <f>ROUND(W27*(1+'الافتراضات'!$B$9)*'الافتراضات'!$B$4+X27*'الافتراضات'!$B$4+Y27+Z27*'الافتراضات'!$B$10,0)</f>
        <v/>
      </c>
      <c r="AD27" s="7">
        <f>1-T27/L27</f>
        <v/>
      </c>
      <c r="AE27" s="7">
        <f>AB27/K27-1</f>
        <v/>
      </c>
      <c r="AF27" s="6">
        <f>ROUND('الافتراضات'!$B$14*F27/100*IF(G27=80,'الافتراضات'!$B$5,IF(G27=95,'الافتراضات'!$B$7,'الافتراضات'!$B$6))-'الافتراضات'!$B$14*AA27/1000/'الافتراضات'!$B$13*'الافتراضات'!$B$8+'الافتراضات'!$B$14*'الافتراضات'!$B$12,0)</f>
        <v/>
      </c>
      <c r="AG27">
        <f>ROUND(MAX(0,AC27-'الافتراضات'!$B$11)/AF27,1)</f>
        <v/>
      </c>
      <c r="AH27" s="6">
        <f>ROUND('الافتراضات'!$B$15*F27/100*IF(G27=80,'الافتراضات'!$B$5,IF(G27=95,'الافتراضات'!$B$7,'الافتراضات'!$B$6))-'الافتراضات'!$B$15*AA27/1000/'الافتراضات'!$B$13*'الافتراضات'!$B$8+'الافتراضات'!$B$15*'الافتراضات'!$B$12,0)</f>
        <v/>
      </c>
      <c r="AI27">
        <f>ROUND(MAX(0,AC27-'الافتراضات'!$B$11)/AH27,1)</f>
        <v/>
      </c>
      <c r="AJ27" t="inlineStr">
        <is>
          <t>BQ-D150 · PMSM 75/150 kW</t>
        </is>
      </c>
      <c r="AK27" t="n">
        <v>8.4</v>
      </c>
    </row>
    <row r="28">
      <c r="A28" s="3" t="inlineStr">
        <is>
          <t>نصر 128 (فيات 128)</t>
        </is>
      </c>
      <c r="B28" s="3" t="inlineStr">
        <is>
          <t>1978–2009</t>
        </is>
      </c>
      <c r="C28" s="3" t="inlineStr">
        <is>
          <t>كلاسيكية (ما قبل 1990)</t>
        </is>
      </c>
      <c r="D28" s="3" t="inlineStr">
        <is>
          <t>يدوي</t>
        </is>
      </c>
      <c r="E28" s="3" t="n">
        <v>815</v>
      </c>
      <c r="F28" s="3" t="n">
        <v>8.5</v>
      </c>
      <c r="G28" s="3" t="n">
        <v>80</v>
      </c>
      <c r="H28" s="3" t="n">
        <v>40.5</v>
      </c>
      <c r="I28" s="5" t="n">
        <v>10689</v>
      </c>
      <c r="J28" s="5" t="n">
        <v>3850</v>
      </c>
      <c r="K28" s="3" t="n">
        <v>226</v>
      </c>
      <c r="L28" s="6">
        <f>ROUND((I28*(1+'الافتراضات'!$B$9)+J28)*'الافتراضات'!$B$4,0)</f>
        <v/>
      </c>
      <c r="M28" s="3" t="n">
        <v>40.5</v>
      </c>
      <c r="N28" s="5" t="n">
        <v>7945</v>
      </c>
      <c r="O28" s="5" t="n">
        <v>1193</v>
      </c>
      <c r="P28" s="5" t="n">
        <v>15600</v>
      </c>
      <c r="Q28" s="3" t="n">
        <v>113</v>
      </c>
      <c r="R28" s="3" t="n">
        <v>147</v>
      </c>
      <c r="S28" s="3" t="n">
        <v>254</v>
      </c>
      <c r="T28" s="6">
        <f>ROUND(N28*(1+'الافتراضات'!$B$9)*'الافتراضات'!$B$4+O28*'الافتراضات'!$B$4+P28+Q28*'الافتراضات'!$B$10,0)</f>
        <v/>
      </c>
      <c r="U28" s="3" t="n">
        <v>40.5</v>
      </c>
      <c r="V28" s="3" t="n">
        <v>14.3</v>
      </c>
      <c r="W28" s="5" t="n">
        <v>10613</v>
      </c>
      <c r="X28" s="5" t="n">
        <v>1373</v>
      </c>
      <c r="Y28" s="5" t="n">
        <v>15600</v>
      </c>
      <c r="Z28" s="3" t="n">
        <v>117</v>
      </c>
      <c r="AA28" s="3" t="n">
        <v>150</v>
      </c>
      <c r="AB28" s="3" t="n">
        <v>326</v>
      </c>
      <c r="AC28" s="6">
        <f>ROUND(W28*(1+'الافتراضات'!$B$9)*'الافتراضات'!$B$4+X28*'الافتراضات'!$B$4+Y28+Z28*'الافتراضات'!$B$10,0)</f>
        <v/>
      </c>
      <c r="AD28" s="7">
        <f>1-T28/L28</f>
        <v/>
      </c>
      <c r="AE28" s="7">
        <f>AB28/K28-1</f>
        <v/>
      </c>
      <c r="AF28" s="6">
        <f>ROUND('الافتراضات'!$B$14*F28/100*IF(G28=80,'الافتراضات'!$B$5,IF(G28=95,'الافتراضات'!$B$7,'الافتراضات'!$B$6))-'الافتراضات'!$B$14*AA28/1000/'الافتراضات'!$B$13*'الافتراضات'!$B$8+'الافتراضات'!$B$14*'الافتراضات'!$B$12,0)</f>
        <v/>
      </c>
      <c r="AG28">
        <f>ROUND(MAX(0,AC28-'الافتراضات'!$B$11)/AF28,1)</f>
        <v/>
      </c>
      <c r="AH28" s="6">
        <f>ROUND('الافتراضات'!$B$15*F28/100*IF(G28=80,'الافتراضات'!$B$5,IF(G28=95,'الافتراضات'!$B$7,'الافتراضات'!$B$6))-'الافتراضات'!$B$15*AA28/1000/'الافتراضات'!$B$13*'الافتراضات'!$B$8+'الافتراضات'!$B$15*'الافتراضات'!$B$12,0)</f>
        <v/>
      </c>
      <c r="AI28">
        <f>ROUND(MAX(0,AC28-'الافتراضات'!$B$11)/AH28,1)</f>
        <v/>
      </c>
      <c r="AJ28" t="inlineStr">
        <is>
          <t>BQ-D60 · PMSM 32/60 kW</t>
        </is>
      </c>
      <c r="AK28" t="n">
        <v>10.1</v>
      </c>
    </row>
    <row r="29">
      <c r="A29" s="3" t="inlineStr">
        <is>
          <t>نصر شاهين</t>
        </is>
      </c>
      <c r="B29" s="3" t="inlineStr">
        <is>
          <t>1990–2008</t>
        </is>
      </c>
      <c r="C29" s="3" t="inlineStr">
        <is>
          <t>كلاسيكية (ما قبل 1990)</t>
        </is>
      </c>
      <c r="D29" s="3" t="inlineStr">
        <is>
          <t>يدوي</t>
        </is>
      </c>
      <c r="E29" s="3" t="n">
        <v>1000</v>
      </c>
      <c r="F29" s="3" t="n">
        <v>9.5</v>
      </c>
      <c r="G29" s="3" t="n">
        <v>80</v>
      </c>
      <c r="H29" s="3" t="n">
        <v>40.5</v>
      </c>
      <c r="I29" s="5" t="n">
        <v>10689</v>
      </c>
      <c r="J29" s="5" t="n">
        <v>3850</v>
      </c>
      <c r="K29" s="3" t="n">
        <v>216</v>
      </c>
      <c r="L29" s="6">
        <f>ROUND((I29*(1+'الافتراضات'!$B$9)+J29)*'الافتراضات'!$B$4,0)</f>
        <v/>
      </c>
      <c r="M29" s="3" t="n">
        <v>40.5</v>
      </c>
      <c r="N29" s="5" t="n">
        <v>7945</v>
      </c>
      <c r="O29" s="5" t="n">
        <v>1193</v>
      </c>
      <c r="P29" s="5" t="n">
        <v>15600</v>
      </c>
      <c r="Q29" s="3" t="n">
        <v>113</v>
      </c>
      <c r="R29" s="3" t="n">
        <v>154</v>
      </c>
      <c r="S29" s="3" t="n">
        <v>243</v>
      </c>
      <c r="T29" s="6">
        <f>ROUND(N29*(1+'الافتراضات'!$B$9)*'الافتراضات'!$B$4+O29*'الافتراضات'!$B$4+P29+Q29*'الافتراضات'!$B$10,0)</f>
        <v/>
      </c>
      <c r="U29" s="3" t="n">
        <v>40.5</v>
      </c>
      <c r="V29" s="3" t="n">
        <v>14.3</v>
      </c>
      <c r="W29" s="5" t="n">
        <v>10613</v>
      </c>
      <c r="X29" s="5" t="n">
        <v>1373</v>
      </c>
      <c r="Y29" s="5" t="n">
        <v>15600</v>
      </c>
      <c r="Z29" s="3" t="n">
        <v>117</v>
      </c>
      <c r="AA29" s="3" t="n">
        <v>157</v>
      </c>
      <c r="AB29" s="3" t="n">
        <v>312</v>
      </c>
      <c r="AC29" s="6">
        <f>ROUND(W29*(1+'الافتراضات'!$B$9)*'الافتراضات'!$B$4+X29*'الافتراضات'!$B$4+Y29+Z29*'الافتراضات'!$B$10,0)</f>
        <v/>
      </c>
      <c r="AD29" s="7">
        <f>1-T29/L29</f>
        <v/>
      </c>
      <c r="AE29" s="7">
        <f>AB29/K29-1</f>
        <v/>
      </c>
      <c r="AF29" s="6">
        <f>ROUND('الافتراضات'!$B$14*F29/100*IF(G29=80,'الافتراضات'!$B$5,IF(G29=95,'الافتراضات'!$B$7,'الافتراضات'!$B$6))-'الافتراضات'!$B$14*AA29/1000/'الافتراضات'!$B$13*'الافتراضات'!$B$8+'الافتراضات'!$B$14*'الافتراضات'!$B$12,0)</f>
        <v/>
      </c>
      <c r="AG29">
        <f>ROUND(MAX(0,AC29-'الافتراضات'!$B$11)/AF29,1)</f>
        <v/>
      </c>
      <c r="AH29" s="6">
        <f>ROUND('الافتراضات'!$B$15*F29/100*IF(G29=80,'الافتراضات'!$B$5,IF(G29=95,'الافتراضات'!$B$7,'الافتراضات'!$B$6))-'الافتراضات'!$B$15*AA29/1000/'الافتراضات'!$B$13*'الافتراضات'!$B$8+'الافتراضات'!$B$15*'الافتراضات'!$B$12,0)</f>
        <v/>
      </c>
      <c r="AI29">
        <f>ROUND(MAX(0,AC29-'الافتراضات'!$B$11)/AH29,1)</f>
        <v/>
      </c>
      <c r="AJ29" t="inlineStr">
        <is>
          <t>BQ-D60 · PMSM 32/60 kW</t>
        </is>
      </c>
      <c r="AK29" t="n">
        <v>11.9</v>
      </c>
    </row>
    <row r="30">
      <c r="A30" s="3" t="inlineStr">
        <is>
          <t>فيات تيبو</t>
        </is>
      </c>
      <c r="B30" s="3" t="inlineStr">
        <is>
          <t>2016–2026</t>
        </is>
      </c>
      <c r="C30" s="3" t="inlineStr">
        <is>
          <t>سيدان وهاتشباك متوسطة صغيرة (فئة C)</t>
        </is>
      </c>
      <c r="D30" s="3" t="inlineStr">
        <is>
          <t>يدوي</t>
        </is>
      </c>
      <c r="E30" s="3" t="n">
        <v>1200</v>
      </c>
      <c r="F30" s="3" t="n">
        <v>7.5</v>
      </c>
      <c r="G30" s="3" t="n">
        <v>92</v>
      </c>
      <c r="H30" s="3" t="n">
        <v>81</v>
      </c>
      <c r="I30" s="5" t="n">
        <v>16590</v>
      </c>
      <c r="J30" s="5" t="n">
        <v>3815</v>
      </c>
      <c r="K30" s="3" t="n">
        <v>419</v>
      </c>
      <c r="L30" s="6">
        <f>ROUND((I30*(1+'الافتراضات'!$B$9)+J30)*'الافتراضات'!$B$4,0)</f>
        <v/>
      </c>
      <c r="M30" s="3" t="n">
        <v>40.5</v>
      </c>
      <c r="N30" s="5" t="n">
        <v>7790</v>
      </c>
      <c r="O30" s="5" t="n">
        <v>1203</v>
      </c>
      <c r="P30" s="5" t="n">
        <v>15600</v>
      </c>
      <c r="Q30" s="3" t="n">
        <v>108</v>
      </c>
      <c r="R30" s="3" t="n">
        <v>150</v>
      </c>
      <c r="S30" s="3" t="n">
        <v>249</v>
      </c>
      <c r="T30" s="6">
        <f>ROUND(N30*(1+'الافتراضات'!$B$9)*'الافتراضات'!$B$4+O30*'الافتراضات'!$B$4+P30+Q30*'الافتراضات'!$B$10,0)</f>
        <v/>
      </c>
      <c r="U30" s="3" t="n">
        <v>81</v>
      </c>
      <c r="V30" s="3" t="n">
        <v>0</v>
      </c>
      <c r="W30" s="5" t="n">
        <v>12120</v>
      </c>
      <c r="X30" s="5" t="n">
        <v>1736</v>
      </c>
      <c r="Y30" s="5" t="n">
        <v>15600</v>
      </c>
      <c r="Z30" s="3" t="n">
        <v>108</v>
      </c>
      <c r="AA30" s="3" t="n">
        <v>157</v>
      </c>
      <c r="AB30" s="3" t="n">
        <v>475</v>
      </c>
      <c r="AC30" s="6">
        <f>ROUND(W30*(1+'الافتراضات'!$B$9)*'الافتراضات'!$B$4+X30*'الافتراضات'!$B$4+Y30+Z30*'الافتراضات'!$B$10,0)</f>
        <v/>
      </c>
      <c r="AD30" s="7">
        <f>1-T30/L30</f>
        <v/>
      </c>
      <c r="AE30" s="7">
        <f>AB30/K30-1</f>
        <v/>
      </c>
      <c r="AF30" s="6">
        <f>ROUND('الافتراضات'!$B$14*F30/100*IF(G30=80,'الافتراضات'!$B$5,IF(G30=95,'الافتراضات'!$B$7,'الافتراضات'!$B$6))-'الافتراضات'!$B$14*AA30/1000/'الافتراضات'!$B$13*'الافتراضات'!$B$8+'الافتراضات'!$B$14*'الافتراضات'!$B$12,0)</f>
        <v/>
      </c>
      <c r="AG30">
        <f>ROUND(MAX(0,AC30-'الافتراضات'!$B$11)/AF30,1)</f>
        <v/>
      </c>
      <c r="AH30" s="6">
        <f>ROUND('الافتراضات'!$B$15*F30/100*IF(G30=80,'الافتراضات'!$B$5,IF(G30=95,'الافتراضات'!$B$7,'الافتراضات'!$B$6))-'الافتراضات'!$B$15*AA30/1000/'الافتراضات'!$B$13*'الافتراضات'!$B$8+'الافتراضات'!$B$15*'الافتراضات'!$B$12,0)</f>
        <v/>
      </c>
      <c r="AI30">
        <f>ROUND(MAX(0,AC30-'الافتراضات'!$B$11)/AH30,1)</f>
        <v/>
      </c>
      <c r="AJ30" t="inlineStr">
        <is>
          <t>BQ-D60 · PMSM 32/60 kW</t>
        </is>
      </c>
      <c r="AK30" t="n">
        <v>13.7</v>
      </c>
    </row>
    <row r="31">
      <c r="A31" s="3" t="inlineStr">
        <is>
          <t>فيات سيينا / ألبيا</t>
        </is>
      </c>
      <c r="B31" s="3" t="inlineStr">
        <is>
          <t>2003–2012</t>
        </is>
      </c>
      <c r="C31" s="3" t="inlineStr">
        <is>
          <t>هاتشباك وسيدان صغيرة (فئة B)</t>
        </is>
      </c>
      <c r="D31" s="3" t="inlineStr">
        <is>
          <t>يدوي</t>
        </is>
      </c>
      <c r="E31" s="3" t="n">
        <v>1050</v>
      </c>
      <c r="F31" s="3" t="n">
        <v>8</v>
      </c>
      <c r="G31" s="3" t="n">
        <v>92</v>
      </c>
      <c r="H31" s="3" t="n">
        <v>40.5</v>
      </c>
      <c r="I31" s="5" t="n">
        <v>11189</v>
      </c>
      <c r="J31" s="5" t="n">
        <v>3640</v>
      </c>
      <c r="K31" s="3" t="n">
        <v>231</v>
      </c>
      <c r="L31" s="6">
        <f>ROUND((I31*(1+'الافتراضات'!$B$9)+J31)*'الافتراضات'!$B$4,0)</f>
        <v/>
      </c>
      <c r="M31" s="3" t="n">
        <v>40.5</v>
      </c>
      <c r="N31" s="5" t="n">
        <v>7790</v>
      </c>
      <c r="O31" s="5" t="n">
        <v>1196</v>
      </c>
      <c r="P31" s="5" t="n">
        <v>15600</v>
      </c>
      <c r="Q31" s="3" t="n">
        <v>103</v>
      </c>
      <c r="R31" s="3" t="n">
        <v>143</v>
      </c>
      <c r="S31" s="3" t="n">
        <v>261</v>
      </c>
      <c r="T31" s="6">
        <f>ROUND(N31*(1+'الافتراضات'!$B$9)*'الافتراضات'!$B$4+O31*'الافتراضات'!$B$4+P31+Q31*'الافتراضات'!$B$10,0)</f>
        <v/>
      </c>
      <c r="U31" s="3" t="n">
        <v>40.5</v>
      </c>
      <c r="V31" s="3" t="n">
        <v>14.3</v>
      </c>
      <c r="W31" s="5" t="n">
        <v>10458</v>
      </c>
      <c r="X31" s="5" t="n">
        <v>1376</v>
      </c>
      <c r="Y31" s="5" t="n">
        <v>15600</v>
      </c>
      <c r="Z31" s="3" t="n">
        <v>107</v>
      </c>
      <c r="AA31" s="3" t="n">
        <v>146</v>
      </c>
      <c r="AB31" s="3" t="n">
        <v>335</v>
      </c>
      <c r="AC31" s="6">
        <f>ROUND(W31*(1+'الافتراضات'!$B$9)*'الافتراضات'!$B$4+X31*'الافتراضات'!$B$4+Y31+Z31*'الافتراضات'!$B$10,0)</f>
        <v/>
      </c>
      <c r="AD31" s="7">
        <f>1-T31/L31</f>
        <v/>
      </c>
      <c r="AE31" s="7">
        <f>AB31/K31-1</f>
        <v/>
      </c>
      <c r="AF31" s="6">
        <f>ROUND('الافتراضات'!$B$14*F31/100*IF(G31=80,'الافتراضات'!$B$5,IF(G31=95,'الافتراضات'!$B$7,'الافتراضات'!$B$6))-'الافتراضات'!$B$14*AA31/1000/'الافتراضات'!$B$13*'الافتراضات'!$B$8+'الافتراضات'!$B$14*'الافتراضات'!$B$12,0)</f>
        <v/>
      </c>
      <c r="AG31">
        <f>ROUND(MAX(0,AC31-'الافتراضات'!$B$11)/AF31,1)</f>
        <v/>
      </c>
      <c r="AH31" s="6">
        <f>ROUND('الافتراضات'!$B$15*F31/100*IF(G31=80,'الافتراضات'!$B$5,IF(G31=95,'الافتراضات'!$B$7,'الافتراضات'!$B$6))-'الافتراضات'!$B$15*AA31/1000/'الافتراضات'!$B$13*'الافتراضات'!$B$8+'الافتراضات'!$B$15*'الافتراضات'!$B$12,0)</f>
        <v/>
      </c>
      <c r="AI31">
        <f>ROUND(MAX(0,AC31-'الافتراضات'!$B$11)/AH31,1)</f>
        <v/>
      </c>
      <c r="AJ31" t="inlineStr">
        <is>
          <t>BQ-D60 · PMSM 32/60 kW</t>
        </is>
      </c>
      <c r="AK31" t="n">
        <v>12.4</v>
      </c>
    </row>
    <row r="32">
      <c r="A32" s="3" t="inlineStr">
        <is>
          <t>رينو لوجان</t>
        </is>
      </c>
      <c r="B32" s="3" t="inlineStr">
        <is>
          <t>2007–2021</t>
        </is>
      </c>
      <c r="C32" s="3" t="inlineStr">
        <is>
          <t>هاتشباك وسيدان صغيرة (فئة B)</t>
        </is>
      </c>
      <c r="D32" s="3" t="inlineStr">
        <is>
          <t>يدوي</t>
        </is>
      </c>
      <c r="E32" s="3" t="n">
        <v>1030</v>
      </c>
      <c r="F32" s="3" t="n">
        <v>7.5</v>
      </c>
      <c r="G32" s="3" t="n">
        <v>92</v>
      </c>
      <c r="H32" s="3" t="n">
        <v>40.5</v>
      </c>
      <c r="I32" s="5" t="n">
        <v>11189</v>
      </c>
      <c r="J32" s="5" t="n">
        <v>3640</v>
      </c>
      <c r="K32" s="3" t="n">
        <v>232</v>
      </c>
      <c r="L32" s="6">
        <f>ROUND((I32*(1+'الافتراضات'!$B$9)+J32)*'الافتراضات'!$B$4,0)</f>
        <v/>
      </c>
      <c r="M32" s="3" t="n">
        <v>40.5</v>
      </c>
      <c r="N32" s="5" t="n">
        <v>7790</v>
      </c>
      <c r="O32" s="5" t="n">
        <v>1196</v>
      </c>
      <c r="P32" s="5" t="n">
        <v>15600</v>
      </c>
      <c r="Q32" s="3" t="n">
        <v>103</v>
      </c>
      <c r="R32" s="3" t="n">
        <v>142</v>
      </c>
      <c r="S32" s="3" t="n">
        <v>262</v>
      </c>
      <c r="T32" s="6">
        <f>ROUND(N32*(1+'الافتراضات'!$B$9)*'الافتراضات'!$B$4+O32*'الافتراضات'!$B$4+P32+Q32*'الافتراضات'!$B$10,0)</f>
        <v/>
      </c>
      <c r="U32" s="3" t="n">
        <v>40.5</v>
      </c>
      <c r="V32" s="3" t="n">
        <v>14.3</v>
      </c>
      <c r="W32" s="5" t="n">
        <v>10458</v>
      </c>
      <c r="X32" s="5" t="n">
        <v>1376</v>
      </c>
      <c r="Y32" s="5" t="n">
        <v>15600</v>
      </c>
      <c r="Z32" s="3" t="n">
        <v>107</v>
      </c>
      <c r="AA32" s="3" t="n">
        <v>146</v>
      </c>
      <c r="AB32" s="3" t="n">
        <v>337</v>
      </c>
      <c r="AC32" s="6">
        <f>ROUND(W32*(1+'الافتراضات'!$B$9)*'الافتراضات'!$B$4+X32*'الافتراضات'!$B$4+Y32+Z32*'الافتراضات'!$B$10,0)</f>
        <v/>
      </c>
      <c r="AD32" s="7">
        <f>1-T32/L32</f>
        <v/>
      </c>
      <c r="AE32" s="7">
        <f>AB32/K32-1</f>
        <v/>
      </c>
      <c r="AF32" s="6">
        <f>ROUND('الافتراضات'!$B$14*F32/100*IF(G32=80,'الافتراضات'!$B$5,IF(G32=95,'الافتراضات'!$B$7,'الافتراضات'!$B$6))-'الافتراضات'!$B$14*AA32/1000/'الافتراضات'!$B$13*'الافتراضات'!$B$8+'الافتراضات'!$B$14*'الافتراضات'!$B$12,0)</f>
        <v/>
      </c>
      <c r="AG32">
        <f>ROUND(MAX(0,AC32-'الافتراضات'!$B$11)/AF32,1)</f>
        <v/>
      </c>
      <c r="AH32" s="6">
        <f>ROUND('الافتراضات'!$B$15*F32/100*IF(G32=80,'الافتراضات'!$B$5,IF(G32=95,'الافتراضات'!$B$7,'الافتراضات'!$B$6))-'الافتراضات'!$B$15*AA32/1000/'الافتراضات'!$B$13*'الافتراضات'!$B$8+'الافتراضات'!$B$15*'الافتراضات'!$B$12,0)</f>
        <v/>
      </c>
      <c r="AI32">
        <f>ROUND(MAX(0,AC32-'الافتراضات'!$B$11)/AH32,1)</f>
        <v/>
      </c>
      <c r="AJ32" t="inlineStr">
        <is>
          <t>BQ-D60 · PMSM 32/60 kW</t>
        </is>
      </c>
      <c r="AK32" t="n">
        <v>12.2</v>
      </c>
    </row>
    <row r="33">
      <c r="A33" s="3" t="inlineStr">
        <is>
          <t>رينو سانديرو</t>
        </is>
      </c>
      <c r="B33" s="3" t="inlineStr">
        <is>
          <t>2008–2026</t>
        </is>
      </c>
      <c r="C33" s="3" t="inlineStr">
        <is>
          <t>هاتشباك وسيدان صغيرة (فئة B)</t>
        </is>
      </c>
      <c r="D33" s="3" t="inlineStr">
        <is>
          <t>يدوي</t>
        </is>
      </c>
      <c r="E33" s="3" t="n">
        <v>1050</v>
      </c>
      <c r="F33" s="3" t="n">
        <v>7.5</v>
      </c>
      <c r="G33" s="3" t="n">
        <v>92</v>
      </c>
      <c r="H33" s="3" t="n">
        <v>40.5</v>
      </c>
      <c r="I33" s="5" t="n">
        <v>11189</v>
      </c>
      <c r="J33" s="5" t="n">
        <v>3640</v>
      </c>
      <c r="K33" s="3" t="n">
        <v>231</v>
      </c>
      <c r="L33" s="6">
        <f>ROUND((I33*(1+'الافتراضات'!$B$9)+J33)*'الافتراضات'!$B$4,0)</f>
        <v/>
      </c>
      <c r="M33" s="3" t="n">
        <v>40.5</v>
      </c>
      <c r="N33" s="5" t="n">
        <v>7790</v>
      </c>
      <c r="O33" s="5" t="n">
        <v>1196</v>
      </c>
      <c r="P33" s="5" t="n">
        <v>15600</v>
      </c>
      <c r="Q33" s="3" t="n">
        <v>103</v>
      </c>
      <c r="R33" s="3" t="n">
        <v>143</v>
      </c>
      <c r="S33" s="3" t="n">
        <v>261</v>
      </c>
      <c r="T33" s="6">
        <f>ROUND(N33*(1+'الافتراضات'!$B$9)*'الافتراضات'!$B$4+O33*'الافتراضات'!$B$4+P33+Q33*'الافتراضات'!$B$10,0)</f>
        <v/>
      </c>
      <c r="U33" s="3" t="n">
        <v>40.5</v>
      </c>
      <c r="V33" s="3" t="n">
        <v>14.3</v>
      </c>
      <c r="W33" s="5" t="n">
        <v>10458</v>
      </c>
      <c r="X33" s="5" t="n">
        <v>1376</v>
      </c>
      <c r="Y33" s="5" t="n">
        <v>15600</v>
      </c>
      <c r="Z33" s="3" t="n">
        <v>107</v>
      </c>
      <c r="AA33" s="3" t="n">
        <v>146</v>
      </c>
      <c r="AB33" s="3" t="n">
        <v>335</v>
      </c>
      <c r="AC33" s="6">
        <f>ROUND(W33*(1+'الافتراضات'!$B$9)*'الافتراضات'!$B$4+X33*'الافتراضات'!$B$4+Y33+Z33*'الافتراضات'!$B$10,0)</f>
        <v/>
      </c>
      <c r="AD33" s="7">
        <f>1-T33/L33</f>
        <v/>
      </c>
      <c r="AE33" s="7">
        <f>AB33/K33-1</f>
        <v/>
      </c>
      <c r="AF33" s="6">
        <f>ROUND('الافتراضات'!$B$14*F33/100*IF(G33=80,'الافتراضات'!$B$5,IF(G33=95,'الافتراضات'!$B$7,'الافتراضات'!$B$6))-'الافتراضات'!$B$14*AA33/1000/'الافتراضات'!$B$13*'الافتراضات'!$B$8+'الافتراضات'!$B$14*'الافتراضات'!$B$12,0)</f>
        <v/>
      </c>
      <c r="AG33">
        <f>ROUND(MAX(0,AC33-'الافتراضات'!$B$11)/AF33,1)</f>
        <v/>
      </c>
      <c r="AH33" s="6">
        <f>ROUND('الافتراضات'!$B$15*F33/100*IF(G33=80,'الافتراضات'!$B$5,IF(G33=95,'الافتراضات'!$B$7,'الافتراضات'!$B$6))-'الافتراضات'!$B$15*AA33/1000/'الافتراضات'!$B$13*'الافتراضات'!$B$8+'الافتراضات'!$B$15*'الافتراضات'!$B$12,0)</f>
        <v/>
      </c>
      <c r="AI33">
        <f>ROUND(MAX(0,AC33-'الافتراضات'!$B$11)/AH33,1)</f>
        <v/>
      </c>
      <c r="AJ33" t="inlineStr">
        <is>
          <t>BQ-D60 · PMSM 32/60 kW</t>
        </is>
      </c>
      <c r="AK33" t="n">
        <v>12.4</v>
      </c>
    </row>
    <row r="34">
      <c r="A34" s="3" t="inlineStr">
        <is>
          <t>رينو ميجان</t>
        </is>
      </c>
      <c r="B34" s="3" t="inlineStr">
        <is>
          <t>2003–2016</t>
        </is>
      </c>
      <c r="C34" s="3" t="inlineStr">
        <is>
          <t>سيدان وهاتشباك متوسطة صغيرة (فئة C)</t>
        </is>
      </c>
      <c r="D34" s="3" t="inlineStr">
        <is>
          <t>أوتوماتيك</t>
        </is>
      </c>
      <c r="E34" s="3" t="n">
        <v>1250</v>
      </c>
      <c r="F34" s="3" t="n">
        <v>8.5</v>
      </c>
      <c r="G34" s="3" t="n">
        <v>92</v>
      </c>
      <c r="H34" s="3" t="n">
        <v>81</v>
      </c>
      <c r="I34" s="5" t="n">
        <v>16590</v>
      </c>
      <c r="J34" s="5" t="n">
        <v>3815</v>
      </c>
      <c r="K34" s="3" t="n">
        <v>413</v>
      </c>
      <c r="L34" s="6">
        <f>ROUND((I34*(1+'الافتراضات'!$B$9)+J34)*'الافتراضات'!$B$4,0)</f>
        <v/>
      </c>
      <c r="M34" s="3" t="n">
        <v>40.5</v>
      </c>
      <c r="N34" s="5" t="n">
        <v>10390</v>
      </c>
      <c r="O34" s="5" t="n">
        <v>1041</v>
      </c>
      <c r="P34" s="5" t="n">
        <v>15600</v>
      </c>
      <c r="Q34" s="3" t="n">
        <v>112</v>
      </c>
      <c r="R34" s="3" t="n">
        <v>151</v>
      </c>
      <c r="S34" s="3" t="n">
        <v>246</v>
      </c>
      <c r="T34" s="6">
        <f>ROUND(N34*(1+'الافتراضات'!$B$9)*'الافتراضات'!$B$4+O34*'الافتراضات'!$B$4+P34+Q34*'الافتراضات'!$B$10,0)</f>
        <v/>
      </c>
      <c r="U34" s="3" t="n">
        <v>81</v>
      </c>
      <c r="V34" s="3" t="n">
        <v>5.12</v>
      </c>
      <c r="W34" s="5" t="n">
        <v>15582</v>
      </c>
      <c r="X34" s="5" t="n">
        <v>1664</v>
      </c>
      <c r="Y34" s="5" t="n">
        <v>15600</v>
      </c>
      <c r="Z34" s="3" t="n">
        <v>116</v>
      </c>
      <c r="AA34" s="3" t="n">
        <v>160</v>
      </c>
      <c r="AB34" s="3" t="n">
        <v>493</v>
      </c>
      <c r="AC34" s="6">
        <f>ROUND(W34*(1+'الافتراضات'!$B$9)*'الافتراضات'!$B$4+X34*'الافتراضات'!$B$4+Y34+Z34*'الافتراضات'!$B$10,0)</f>
        <v/>
      </c>
      <c r="AD34" s="7">
        <f>1-T34/L34</f>
        <v/>
      </c>
      <c r="AE34" s="7">
        <f>AB34/K34-1</f>
        <v/>
      </c>
      <c r="AF34" s="6">
        <f>ROUND('الافتراضات'!$B$14*F34/100*IF(G34=80,'الافتراضات'!$B$5,IF(G34=95,'الافتراضات'!$B$7,'الافتراضات'!$B$6))-'الافتراضات'!$B$14*AA34/1000/'الافتراضات'!$B$13*'الافتراضات'!$B$8+'الافتراضات'!$B$14*'الافتراضات'!$B$12,0)</f>
        <v/>
      </c>
      <c r="AG34">
        <f>ROUND(MAX(0,AC34-'الافتراضات'!$B$11)/AF34,1)</f>
        <v/>
      </c>
      <c r="AH34" s="6">
        <f>ROUND('الافتراضات'!$B$15*F34/100*IF(G34=80,'الافتراضات'!$B$5,IF(G34=95,'الافتراضات'!$B$7,'الافتراضات'!$B$6))-'الافتراضات'!$B$15*AA34/1000/'الافتراضات'!$B$13*'الافتراضات'!$B$8+'الافتراضات'!$B$15*'الافتراضات'!$B$12,0)</f>
        <v/>
      </c>
      <c r="AI34">
        <f>ROUND(MAX(0,AC34-'الافتراضات'!$B$11)/AH34,1)</f>
        <v/>
      </c>
      <c r="AJ34" t="inlineStr">
        <is>
          <t>BQ-D100 · PMSM 50/100 kW</t>
        </is>
      </c>
      <c r="AK34" t="n">
        <v>8.5</v>
      </c>
    </row>
    <row r="35">
      <c r="A35" s="3" t="inlineStr">
        <is>
          <t>رينو داستر</t>
        </is>
      </c>
      <c r="B35" s="3" t="inlineStr">
        <is>
          <t>2012–2026</t>
        </is>
      </c>
      <c r="C35" s="3" t="inlineStr">
        <is>
          <t>SUV وكروس أوفر صغيرة</t>
        </is>
      </c>
      <c r="D35" s="3" t="inlineStr">
        <is>
          <t>يدوي</t>
        </is>
      </c>
      <c r="E35" s="3" t="n">
        <v>1200</v>
      </c>
      <c r="F35" s="3" t="n">
        <v>8.5</v>
      </c>
      <c r="G35" s="3" t="n">
        <v>92</v>
      </c>
      <c r="H35" s="3" t="n">
        <v>81</v>
      </c>
      <c r="I35" s="5" t="n">
        <v>16585</v>
      </c>
      <c r="J35" s="5" t="n">
        <v>3815</v>
      </c>
      <c r="K35" s="3" t="n">
        <v>389</v>
      </c>
      <c r="L35" s="6">
        <f>ROUND((I35*(1+'الافتراضات'!$B$9)+J35)*'الافتراضات'!$B$4,0)</f>
        <v/>
      </c>
      <c r="M35" s="3" t="n">
        <v>40.5</v>
      </c>
      <c r="N35" s="5" t="n">
        <v>7790</v>
      </c>
      <c r="O35" s="5" t="n">
        <v>1200</v>
      </c>
      <c r="P35" s="5" t="n">
        <v>15600</v>
      </c>
      <c r="Q35" s="3" t="n">
        <v>108</v>
      </c>
      <c r="R35" s="3" t="n">
        <v>163</v>
      </c>
      <c r="S35" s="3" t="n">
        <v>228</v>
      </c>
      <c r="T35" s="6">
        <f>ROUND(N35*(1+'الافتراضات'!$B$9)*'الافتراضات'!$B$4+O35*'الافتراضات'!$B$4+P35+Q35*'الافتراضات'!$B$10,0)</f>
        <v/>
      </c>
      <c r="U35" s="3" t="n">
        <v>81</v>
      </c>
      <c r="V35" s="3" t="n">
        <v>0</v>
      </c>
      <c r="W35" s="5" t="n">
        <v>12120</v>
      </c>
      <c r="X35" s="5" t="n">
        <v>1733</v>
      </c>
      <c r="Y35" s="5" t="n">
        <v>15600</v>
      </c>
      <c r="Z35" s="3" t="n">
        <v>108</v>
      </c>
      <c r="AA35" s="3" t="n">
        <v>171</v>
      </c>
      <c r="AB35" s="3" t="n">
        <v>436</v>
      </c>
      <c r="AC35" s="6">
        <f>ROUND(W35*(1+'الافتراضات'!$B$9)*'الافتراضات'!$B$4+X35*'الافتراضات'!$B$4+Y35+Z35*'الافتراضات'!$B$10,0)</f>
        <v/>
      </c>
      <c r="AD35" s="7">
        <f>1-T35/L35</f>
        <v/>
      </c>
      <c r="AE35" s="7">
        <f>AB35/K35-1</f>
        <v/>
      </c>
      <c r="AF35" s="6">
        <f>ROUND('الافتراضات'!$B$14*F35/100*IF(G35=80,'الافتراضات'!$B$5,IF(G35=95,'الافتراضات'!$B$7,'الافتراضات'!$B$6))-'الافتراضات'!$B$14*AA35/1000/'الافتراضات'!$B$13*'الافتراضات'!$B$8+'الافتراضات'!$B$14*'الافتراضات'!$B$12,0)</f>
        <v/>
      </c>
      <c r="AG35">
        <f>ROUND(MAX(0,AC35-'الافتراضات'!$B$11)/AF35,1)</f>
        <v/>
      </c>
      <c r="AH35" s="6">
        <f>ROUND('الافتراضات'!$B$15*F35/100*IF(G35=80,'الافتراضات'!$B$5,IF(G35=95,'الافتراضات'!$B$7,'الافتراضات'!$B$6))-'الافتراضات'!$B$15*AA35/1000/'الافتراضات'!$B$13*'الافتراضات'!$B$8+'الافتراضات'!$B$15*'الافتراضات'!$B$12,0)</f>
        <v/>
      </c>
      <c r="AI35">
        <f>ROUND(MAX(0,AC35-'الافتراضات'!$B$11)/AH35,1)</f>
        <v/>
      </c>
      <c r="AJ35" t="inlineStr">
        <is>
          <t>BQ-D60 · PMSM 32/60 kW</t>
        </is>
      </c>
      <c r="AK35" t="n">
        <v>13.7</v>
      </c>
    </row>
    <row r="36">
      <c r="A36" s="3" t="inlineStr">
        <is>
          <t>ميتسوبيشي لانسر شارك</t>
        </is>
      </c>
      <c r="B36" s="3" t="inlineStr">
        <is>
          <t>2007–2017</t>
        </is>
      </c>
      <c r="C36" s="3" t="inlineStr">
        <is>
          <t>سيدان وهاتشباك متوسطة صغيرة (فئة C)</t>
        </is>
      </c>
      <c r="D36" s="3" t="inlineStr">
        <is>
          <t>أوتوماتيك</t>
        </is>
      </c>
      <c r="E36" s="3" t="n">
        <v>1250</v>
      </c>
      <c r="F36" s="3" t="n">
        <v>9</v>
      </c>
      <c r="G36" s="3" t="n">
        <v>92</v>
      </c>
      <c r="H36" s="3" t="n">
        <v>81</v>
      </c>
      <c r="I36" s="5" t="n">
        <v>16590</v>
      </c>
      <c r="J36" s="5" t="n">
        <v>3815</v>
      </c>
      <c r="K36" s="3" t="n">
        <v>413</v>
      </c>
      <c r="L36" s="6">
        <f>ROUND((I36*(1+'الافتراضات'!$B$9)+J36)*'الافتراضات'!$B$4,0)</f>
        <v/>
      </c>
      <c r="M36" s="3" t="n">
        <v>40.5</v>
      </c>
      <c r="N36" s="5" t="n">
        <v>10390</v>
      </c>
      <c r="O36" s="5" t="n">
        <v>1041</v>
      </c>
      <c r="P36" s="5" t="n">
        <v>15600</v>
      </c>
      <c r="Q36" s="3" t="n">
        <v>112</v>
      </c>
      <c r="R36" s="3" t="n">
        <v>151</v>
      </c>
      <c r="S36" s="3" t="n">
        <v>246</v>
      </c>
      <c r="T36" s="6">
        <f>ROUND(N36*(1+'الافتراضات'!$B$9)*'الافتراضات'!$B$4+O36*'الافتراضات'!$B$4+P36+Q36*'الافتراضات'!$B$10,0)</f>
        <v/>
      </c>
      <c r="U36" s="3" t="n">
        <v>81</v>
      </c>
      <c r="V36" s="3" t="n">
        <v>5.12</v>
      </c>
      <c r="W36" s="5" t="n">
        <v>15582</v>
      </c>
      <c r="X36" s="5" t="n">
        <v>1664</v>
      </c>
      <c r="Y36" s="5" t="n">
        <v>15600</v>
      </c>
      <c r="Z36" s="3" t="n">
        <v>116</v>
      </c>
      <c r="AA36" s="3" t="n">
        <v>160</v>
      </c>
      <c r="AB36" s="3" t="n">
        <v>493</v>
      </c>
      <c r="AC36" s="6">
        <f>ROUND(W36*(1+'الافتراضات'!$B$9)*'الافتراضات'!$B$4+X36*'الافتراضات'!$B$4+Y36+Z36*'الافتراضات'!$B$10,0)</f>
        <v/>
      </c>
      <c r="AD36" s="7">
        <f>1-T36/L36</f>
        <v/>
      </c>
      <c r="AE36" s="7">
        <f>AB36/K36-1</f>
        <v/>
      </c>
      <c r="AF36" s="6">
        <f>ROUND('الافتراضات'!$B$14*F36/100*IF(G36=80,'الافتراضات'!$B$5,IF(G36=95,'الافتراضات'!$B$7,'الافتراضات'!$B$6))-'الافتراضات'!$B$14*AA36/1000/'الافتراضات'!$B$13*'الافتراضات'!$B$8+'الافتراضات'!$B$14*'الافتراضات'!$B$12,0)</f>
        <v/>
      </c>
      <c r="AG36">
        <f>ROUND(MAX(0,AC36-'الافتراضات'!$B$11)/AF36,1)</f>
        <v/>
      </c>
      <c r="AH36" s="6">
        <f>ROUND('الافتراضات'!$B$15*F36/100*IF(G36=80,'الافتراضات'!$B$5,IF(G36=95,'الافتراضات'!$B$7,'الافتراضات'!$B$6))-'الافتراضات'!$B$15*AA36/1000/'الافتراضات'!$B$13*'الافتراضات'!$B$8+'الافتراضات'!$B$15*'الافتراضات'!$B$12,0)</f>
        <v/>
      </c>
      <c r="AI36">
        <f>ROUND(MAX(0,AC36-'الافتراضات'!$B$11)/AH36,1)</f>
        <v/>
      </c>
      <c r="AJ36" t="inlineStr">
        <is>
          <t>BQ-D100 · PMSM 50/100 kW</t>
        </is>
      </c>
      <c r="AK36" t="n">
        <v>8.5</v>
      </c>
    </row>
    <row r="37">
      <c r="A37" s="3" t="inlineStr">
        <is>
          <t>ميتسوبيشي لانسر (2001–2008)</t>
        </is>
      </c>
      <c r="B37" s="3" t="inlineStr">
        <is>
          <t>2001–2008</t>
        </is>
      </c>
      <c r="C37" s="3" t="inlineStr">
        <is>
          <t>سيدان وهاتشباك متوسطة صغيرة (فئة C)</t>
        </is>
      </c>
      <c r="D37" s="3" t="inlineStr">
        <is>
          <t>يدوي</t>
        </is>
      </c>
      <c r="E37" s="3" t="n">
        <v>1180</v>
      </c>
      <c r="F37" s="3" t="n">
        <v>9</v>
      </c>
      <c r="G37" s="3" t="n">
        <v>92</v>
      </c>
      <c r="H37" s="3" t="n">
        <v>81</v>
      </c>
      <c r="I37" s="5" t="n">
        <v>16745</v>
      </c>
      <c r="J37" s="5" t="n">
        <v>3815</v>
      </c>
      <c r="K37" s="3" t="n">
        <v>421</v>
      </c>
      <c r="L37" s="6">
        <f>ROUND((I37*(1+'الافتراضات'!$B$9)+J37)*'الافتراضات'!$B$4,0)</f>
        <v/>
      </c>
      <c r="M37" s="3" t="n">
        <v>40.5</v>
      </c>
      <c r="N37" s="5" t="n">
        <v>7945</v>
      </c>
      <c r="O37" s="5" t="n">
        <v>1203</v>
      </c>
      <c r="P37" s="5" t="n">
        <v>15600</v>
      </c>
      <c r="Q37" s="3" t="n">
        <v>108</v>
      </c>
      <c r="R37" s="3" t="n">
        <v>149</v>
      </c>
      <c r="S37" s="3" t="n">
        <v>250</v>
      </c>
      <c r="T37" s="6">
        <f>ROUND(N37*(1+'الافتراضات'!$B$9)*'الافتراضات'!$B$4+O37*'الافتراضات'!$B$4+P37+Q37*'الافتراضات'!$B$10,0)</f>
        <v/>
      </c>
      <c r="U37" s="3" t="n">
        <v>81</v>
      </c>
      <c r="V37" s="3" t="n">
        <v>0</v>
      </c>
      <c r="W37" s="5" t="n">
        <v>12275</v>
      </c>
      <c r="X37" s="5" t="n">
        <v>1736</v>
      </c>
      <c r="Y37" s="5" t="n">
        <v>15600</v>
      </c>
      <c r="Z37" s="3" t="n">
        <v>108</v>
      </c>
      <c r="AA37" s="3" t="n">
        <v>156</v>
      </c>
      <c r="AB37" s="3" t="n">
        <v>477</v>
      </c>
      <c r="AC37" s="6">
        <f>ROUND(W37*(1+'الافتراضات'!$B$9)*'الافتراضات'!$B$4+X37*'الافتراضات'!$B$4+Y37+Z37*'الافتراضات'!$B$10,0)</f>
        <v/>
      </c>
      <c r="AD37" s="7">
        <f>1-T37/L37</f>
        <v/>
      </c>
      <c r="AE37" s="7">
        <f>AB37/K37-1</f>
        <v/>
      </c>
      <c r="AF37" s="6">
        <f>ROUND('الافتراضات'!$B$14*F37/100*IF(G37=80,'الافتراضات'!$B$5,IF(G37=95,'الافتراضات'!$B$7,'الافتراضات'!$B$6))-'الافتراضات'!$B$14*AA37/1000/'الافتراضات'!$B$13*'الافتراضات'!$B$8+'الافتراضات'!$B$14*'الافتراضات'!$B$12,0)</f>
        <v/>
      </c>
      <c r="AG37">
        <f>ROUND(MAX(0,AC37-'الافتراضات'!$B$11)/AF37,1)</f>
        <v/>
      </c>
      <c r="AH37" s="6">
        <f>ROUND('الافتراضات'!$B$15*F37/100*IF(G37=80,'الافتراضات'!$B$5,IF(G37=95,'الافتراضات'!$B$7,'الافتراضات'!$B$6))-'الافتراضات'!$B$15*AA37/1000/'الافتراضات'!$B$13*'الافتراضات'!$B$8+'الافتراضات'!$B$15*'الافتراضات'!$B$12,0)</f>
        <v/>
      </c>
      <c r="AI37">
        <f>ROUND(MAX(0,AC37-'الافتراضات'!$B$11)/AH37,1)</f>
        <v/>
      </c>
      <c r="AJ37" t="inlineStr">
        <is>
          <t>BQ-D60 · PMSM 32/60 kW</t>
        </is>
      </c>
      <c r="AK37" t="n">
        <v>13.4</v>
      </c>
    </row>
    <row r="38">
      <c r="A38" s="3" t="inlineStr">
        <is>
          <t>ميتسوبيشي أترِاج</t>
        </is>
      </c>
      <c r="B38" s="3" t="inlineStr">
        <is>
          <t>2013–2026</t>
        </is>
      </c>
      <c r="C38" s="3" t="inlineStr">
        <is>
          <t>هاتشباك وسيدان صغيرة (فئة B)</t>
        </is>
      </c>
      <c r="D38" s="3" t="inlineStr">
        <is>
          <t>أوتوماتيك</t>
        </is>
      </c>
      <c r="E38" s="3" t="n">
        <v>900</v>
      </c>
      <c r="F38" s="3" t="n">
        <v>6</v>
      </c>
      <c r="G38" s="3" t="n">
        <v>92</v>
      </c>
      <c r="H38" s="3" t="n">
        <v>40.5</v>
      </c>
      <c r="I38" s="5" t="n">
        <v>11189</v>
      </c>
      <c r="J38" s="5" t="n">
        <v>3640</v>
      </c>
      <c r="K38" s="3" t="n">
        <v>241</v>
      </c>
      <c r="L38" s="6">
        <f>ROUND((I38*(1+'الافتراضات'!$B$9)+J38)*'الافتراضات'!$B$4,0)</f>
        <v/>
      </c>
      <c r="M38" s="3" t="n">
        <v>40.5</v>
      </c>
      <c r="N38" s="5" t="n">
        <v>8690</v>
      </c>
      <c r="O38" s="5" t="n">
        <v>1034</v>
      </c>
      <c r="P38" s="5" t="n">
        <v>15600</v>
      </c>
      <c r="Q38" s="3" t="n">
        <v>107</v>
      </c>
      <c r="R38" s="3" t="n">
        <v>136</v>
      </c>
      <c r="S38" s="3" t="n">
        <v>273</v>
      </c>
      <c r="T38" s="6">
        <f>ROUND(N38*(1+'الافتراضات'!$B$9)*'الافتراضات'!$B$4+O38*'الافتراضات'!$B$4+P38+Q38*'الافتراضات'!$B$10,0)</f>
        <v/>
      </c>
      <c r="U38" s="3" t="n">
        <v>40.5</v>
      </c>
      <c r="V38" s="3" t="n">
        <v>14.3</v>
      </c>
      <c r="W38" s="5" t="n">
        <v>11358</v>
      </c>
      <c r="X38" s="5" t="n">
        <v>1214</v>
      </c>
      <c r="Y38" s="5" t="n">
        <v>15600</v>
      </c>
      <c r="Z38" s="3" t="n">
        <v>111</v>
      </c>
      <c r="AA38" s="3" t="n">
        <v>140</v>
      </c>
      <c r="AB38" s="3" t="n">
        <v>351</v>
      </c>
      <c r="AC38" s="6">
        <f>ROUND(W38*(1+'الافتراضات'!$B$9)*'الافتراضات'!$B$4+X38*'الافتراضات'!$B$4+Y38+Z38*'الافتراضات'!$B$10,0)</f>
        <v/>
      </c>
      <c r="AD38" s="7">
        <f>1-T38/L38</f>
        <v/>
      </c>
      <c r="AE38" s="7">
        <f>AB38/K38-1</f>
        <v/>
      </c>
      <c r="AF38" s="6">
        <f>ROUND('الافتراضات'!$B$14*F38/100*IF(G38=80,'الافتراضات'!$B$5,IF(G38=95,'الافتراضات'!$B$7,'الافتراضات'!$B$6))-'الافتراضات'!$B$14*AA38/1000/'الافتراضات'!$B$13*'الافتراضات'!$B$8+'الافتراضات'!$B$14*'الافتراضات'!$B$12,0)</f>
        <v/>
      </c>
      <c r="AG38">
        <f>ROUND(MAX(0,AC38-'الافتراضات'!$B$11)/AF38,1)</f>
        <v/>
      </c>
      <c r="AH38" s="6">
        <f>ROUND('الافتراضات'!$B$15*F38/100*IF(G38=80,'الافتراضات'!$B$5,IF(G38=95,'الافتراضات'!$B$7,'الافتراضات'!$B$6))-'الافتراضات'!$B$15*AA38/1000/'الافتراضات'!$B$13*'الافتراضات'!$B$8+'الافتراضات'!$B$15*'الافتراضات'!$B$12,0)</f>
        <v/>
      </c>
      <c r="AI38">
        <f>ROUND(MAX(0,AC38-'الافتراضات'!$B$11)/AH38,1)</f>
        <v/>
      </c>
      <c r="AJ38" t="inlineStr">
        <is>
          <t>BQ-D60 · PMSM 32/60 kW</t>
        </is>
      </c>
      <c r="AK38" t="n">
        <v>10.7</v>
      </c>
    </row>
    <row r="39">
      <c r="A39" s="3" t="inlineStr">
        <is>
          <t>بيجو 405</t>
        </is>
      </c>
      <c r="B39" s="3" t="inlineStr">
        <is>
          <t>1987–2014</t>
        </is>
      </c>
      <c r="C39" s="3" t="inlineStr">
        <is>
          <t>سيدان متوسطة (فئة D)</t>
        </is>
      </c>
      <c r="D39" s="3" t="inlineStr">
        <is>
          <t>يدوي</t>
        </is>
      </c>
      <c r="E39" s="3" t="n">
        <v>1100</v>
      </c>
      <c r="F39" s="3" t="n">
        <v>9</v>
      </c>
      <c r="G39" s="3" t="n">
        <v>92</v>
      </c>
      <c r="H39" s="3" t="n">
        <v>81</v>
      </c>
      <c r="I39" s="5" t="n">
        <v>16601</v>
      </c>
      <c r="J39" s="5" t="n">
        <v>3990</v>
      </c>
      <c r="K39" s="3" t="n">
        <v>427</v>
      </c>
      <c r="L39" s="6">
        <f>ROUND((I39*(1+'الافتراضات'!$B$9)+J39)*'الافتراضات'!$B$4,0)</f>
        <v/>
      </c>
      <c r="M39" s="3" t="n">
        <v>40.5</v>
      </c>
      <c r="N39" s="5" t="n">
        <v>7790</v>
      </c>
      <c r="O39" s="5" t="n">
        <v>1210</v>
      </c>
      <c r="P39" s="5" t="n">
        <v>15600</v>
      </c>
      <c r="Q39" s="3" t="n">
        <v>113</v>
      </c>
      <c r="R39" s="3" t="n">
        <v>147</v>
      </c>
      <c r="S39" s="3" t="n">
        <v>253</v>
      </c>
      <c r="T39" s="6">
        <f>ROUND(N39*(1+'الافتراضات'!$B$9)*'الافتراضات'!$B$4+O39*'الافتراضات'!$B$4+P39+Q39*'الافتراضات'!$B$10,0)</f>
        <v/>
      </c>
      <c r="U39" s="3" t="n">
        <v>81</v>
      </c>
      <c r="V39" s="3" t="n">
        <v>5.12</v>
      </c>
      <c r="W39" s="5" t="n">
        <v>14682</v>
      </c>
      <c r="X39" s="5" t="n">
        <v>1833</v>
      </c>
      <c r="Y39" s="5" t="n">
        <v>15600</v>
      </c>
      <c r="Z39" s="3" t="n">
        <v>117</v>
      </c>
      <c r="AA39" s="3" t="n">
        <v>156</v>
      </c>
      <c r="AB39" s="3" t="n">
        <v>504</v>
      </c>
      <c r="AC39" s="6">
        <f>ROUND(W39*(1+'الافتراضات'!$B$9)*'الافتراضات'!$B$4+X39*'الافتراضات'!$B$4+Y39+Z39*'الافتراضات'!$B$10,0)</f>
        <v/>
      </c>
      <c r="AD39" s="7">
        <f>1-T39/L39</f>
        <v/>
      </c>
      <c r="AE39" s="7">
        <f>AB39/K39-1</f>
        <v/>
      </c>
      <c r="AF39" s="6">
        <f>ROUND('الافتراضات'!$B$14*F39/100*IF(G39=80,'الافتراضات'!$B$5,IF(G39=95,'الافتراضات'!$B$7,'الافتراضات'!$B$6))-'الافتراضات'!$B$14*AA39/1000/'الافتراضات'!$B$13*'الافتراضات'!$B$8+'الافتراضات'!$B$14*'الافتراضات'!$B$12,0)</f>
        <v/>
      </c>
      <c r="AG39">
        <f>ROUND(MAX(0,AC39-'الافتراضات'!$B$11)/AF39,1)</f>
        <v/>
      </c>
      <c r="AH39" s="6">
        <f>ROUND('الافتراضات'!$B$15*F39/100*IF(G39=80,'الافتراضات'!$B$5,IF(G39=95,'الافتراضات'!$B$7,'الافتراضات'!$B$6))-'الافتراضات'!$B$15*AA39/1000/'الافتراضات'!$B$13*'الافتراضات'!$B$8+'الافتراضات'!$B$15*'الافتراضات'!$B$12,0)</f>
        <v/>
      </c>
      <c r="AI39">
        <f>ROUND(MAX(0,AC39-'الافتراضات'!$B$11)/AH39,1)</f>
        <v/>
      </c>
      <c r="AJ39" t="inlineStr">
        <is>
          <t>BQ-D60 · PMSM 32/60 kW</t>
        </is>
      </c>
      <c r="AK39" t="n">
        <v>12.3</v>
      </c>
    </row>
    <row r="40">
      <c r="A40" s="3" t="inlineStr">
        <is>
          <t>بيجو 206</t>
        </is>
      </c>
      <c r="B40" s="3" t="inlineStr">
        <is>
          <t>1998–2012</t>
        </is>
      </c>
      <c r="C40" s="3" t="inlineStr">
        <is>
          <t>هاتشباك وسيدان صغيرة (فئة B)</t>
        </is>
      </c>
      <c r="D40" s="3" t="inlineStr">
        <is>
          <t>يدوي</t>
        </is>
      </c>
      <c r="E40" s="3" t="n">
        <v>1050</v>
      </c>
      <c r="F40" s="3" t="n">
        <v>7.5</v>
      </c>
      <c r="G40" s="3" t="n">
        <v>92</v>
      </c>
      <c r="H40" s="3" t="n">
        <v>40.5</v>
      </c>
      <c r="I40" s="5" t="n">
        <v>11189</v>
      </c>
      <c r="J40" s="5" t="n">
        <v>3640</v>
      </c>
      <c r="K40" s="3" t="n">
        <v>231</v>
      </c>
      <c r="L40" s="6">
        <f>ROUND((I40*(1+'الافتراضات'!$B$9)+J40)*'الافتراضات'!$B$4,0)</f>
        <v/>
      </c>
      <c r="M40" s="3" t="n">
        <v>40.5</v>
      </c>
      <c r="N40" s="5" t="n">
        <v>7790</v>
      </c>
      <c r="O40" s="5" t="n">
        <v>1196</v>
      </c>
      <c r="P40" s="5" t="n">
        <v>15600</v>
      </c>
      <c r="Q40" s="3" t="n">
        <v>103</v>
      </c>
      <c r="R40" s="3" t="n">
        <v>143</v>
      </c>
      <c r="S40" s="3" t="n">
        <v>261</v>
      </c>
      <c r="T40" s="6">
        <f>ROUND(N40*(1+'الافتراضات'!$B$9)*'الافتراضات'!$B$4+O40*'الافتراضات'!$B$4+P40+Q40*'الافتراضات'!$B$10,0)</f>
        <v/>
      </c>
      <c r="U40" s="3" t="n">
        <v>40.5</v>
      </c>
      <c r="V40" s="3" t="n">
        <v>14.3</v>
      </c>
      <c r="W40" s="5" t="n">
        <v>10458</v>
      </c>
      <c r="X40" s="5" t="n">
        <v>1376</v>
      </c>
      <c r="Y40" s="5" t="n">
        <v>15600</v>
      </c>
      <c r="Z40" s="3" t="n">
        <v>107</v>
      </c>
      <c r="AA40" s="3" t="n">
        <v>146</v>
      </c>
      <c r="AB40" s="3" t="n">
        <v>335</v>
      </c>
      <c r="AC40" s="6">
        <f>ROUND(W40*(1+'الافتراضات'!$B$9)*'الافتراضات'!$B$4+X40*'الافتراضات'!$B$4+Y40+Z40*'الافتراضات'!$B$10,0)</f>
        <v/>
      </c>
      <c r="AD40" s="7">
        <f>1-T40/L40</f>
        <v/>
      </c>
      <c r="AE40" s="7">
        <f>AB40/K40-1</f>
        <v/>
      </c>
      <c r="AF40" s="6">
        <f>ROUND('الافتراضات'!$B$14*F40/100*IF(G40=80,'الافتراضات'!$B$5,IF(G40=95,'الافتراضات'!$B$7,'الافتراضات'!$B$6))-'الافتراضات'!$B$14*AA40/1000/'الافتراضات'!$B$13*'الافتراضات'!$B$8+'الافتراضات'!$B$14*'الافتراضات'!$B$12,0)</f>
        <v/>
      </c>
      <c r="AG40">
        <f>ROUND(MAX(0,AC40-'الافتراضات'!$B$11)/AF40,1)</f>
        <v/>
      </c>
      <c r="AH40" s="6">
        <f>ROUND('الافتراضات'!$B$15*F40/100*IF(G40=80,'الافتراضات'!$B$5,IF(G40=95,'الافتراضات'!$B$7,'الافتراضات'!$B$6))-'الافتراضات'!$B$15*AA40/1000/'الافتراضات'!$B$13*'الافتراضات'!$B$8+'الافتراضات'!$B$15*'الافتراضات'!$B$12,0)</f>
        <v/>
      </c>
      <c r="AI40">
        <f>ROUND(MAX(0,AC40-'الافتراضات'!$B$11)/AH40,1)</f>
        <v/>
      </c>
      <c r="AJ40" t="inlineStr">
        <is>
          <t>BQ-D60 · PMSM 32/60 kW</t>
        </is>
      </c>
      <c r="AK40" t="n">
        <v>12.4</v>
      </c>
    </row>
    <row r="41">
      <c r="A41" s="3" t="inlineStr">
        <is>
          <t>بيجو 301</t>
        </is>
      </c>
      <c r="B41" s="3" t="inlineStr">
        <is>
          <t>2012–2026</t>
        </is>
      </c>
      <c r="C41" s="3" t="inlineStr">
        <is>
          <t>هاتشباك وسيدان صغيرة (فئة B)</t>
        </is>
      </c>
      <c r="D41" s="3" t="inlineStr">
        <is>
          <t>يدوي</t>
        </is>
      </c>
      <c r="E41" s="3" t="n">
        <v>1050</v>
      </c>
      <c r="F41" s="3" t="n">
        <v>7</v>
      </c>
      <c r="G41" s="3" t="n">
        <v>92</v>
      </c>
      <c r="H41" s="3" t="n">
        <v>40.5</v>
      </c>
      <c r="I41" s="5" t="n">
        <v>11189</v>
      </c>
      <c r="J41" s="5" t="n">
        <v>3640</v>
      </c>
      <c r="K41" s="3" t="n">
        <v>231</v>
      </c>
      <c r="L41" s="6">
        <f>ROUND((I41*(1+'الافتراضات'!$B$9)+J41)*'الافتراضات'!$B$4,0)</f>
        <v/>
      </c>
      <c r="M41" s="3" t="n">
        <v>40.5</v>
      </c>
      <c r="N41" s="5" t="n">
        <v>7790</v>
      </c>
      <c r="O41" s="5" t="n">
        <v>1196</v>
      </c>
      <c r="P41" s="5" t="n">
        <v>15600</v>
      </c>
      <c r="Q41" s="3" t="n">
        <v>103</v>
      </c>
      <c r="R41" s="3" t="n">
        <v>143</v>
      </c>
      <c r="S41" s="3" t="n">
        <v>261</v>
      </c>
      <c r="T41" s="6">
        <f>ROUND(N41*(1+'الافتراضات'!$B$9)*'الافتراضات'!$B$4+O41*'الافتراضات'!$B$4+P41+Q41*'الافتراضات'!$B$10,0)</f>
        <v/>
      </c>
      <c r="U41" s="3" t="n">
        <v>40.5</v>
      </c>
      <c r="V41" s="3" t="n">
        <v>14.3</v>
      </c>
      <c r="W41" s="5" t="n">
        <v>10458</v>
      </c>
      <c r="X41" s="5" t="n">
        <v>1376</v>
      </c>
      <c r="Y41" s="5" t="n">
        <v>15600</v>
      </c>
      <c r="Z41" s="3" t="n">
        <v>107</v>
      </c>
      <c r="AA41" s="3" t="n">
        <v>146</v>
      </c>
      <c r="AB41" s="3" t="n">
        <v>335</v>
      </c>
      <c r="AC41" s="6">
        <f>ROUND(W41*(1+'الافتراضات'!$B$9)*'الافتراضات'!$B$4+X41*'الافتراضات'!$B$4+Y41+Z41*'الافتراضات'!$B$10,0)</f>
        <v/>
      </c>
      <c r="AD41" s="7">
        <f>1-T41/L41</f>
        <v/>
      </c>
      <c r="AE41" s="7">
        <f>AB41/K41-1</f>
        <v/>
      </c>
      <c r="AF41" s="6">
        <f>ROUND('الافتراضات'!$B$14*F41/100*IF(G41=80,'الافتراضات'!$B$5,IF(G41=95,'الافتراضات'!$B$7,'الافتراضات'!$B$6))-'الافتراضات'!$B$14*AA41/1000/'الافتراضات'!$B$13*'الافتراضات'!$B$8+'الافتراضات'!$B$14*'الافتراضات'!$B$12,0)</f>
        <v/>
      </c>
      <c r="AG41">
        <f>ROUND(MAX(0,AC41-'الافتراضات'!$B$11)/AF41,1)</f>
        <v/>
      </c>
      <c r="AH41" s="6">
        <f>ROUND('الافتراضات'!$B$15*F41/100*IF(G41=80,'الافتراضات'!$B$5,IF(G41=95,'الافتراضات'!$B$7,'الافتراضات'!$B$6))-'الافتراضات'!$B$15*AA41/1000/'الافتراضات'!$B$13*'الافتراضات'!$B$8+'الافتراضات'!$B$15*'الافتراضات'!$B$12,0)</f>
        <v/>
      </c>
      <c r="AI41">
        <f>ROUND(MAX(0,AC41-'الافتراضات'!$B$11)/AH41,1)</f>
        <v/>
      </c>
      <c r="AJ41" t="inlineStr">
        <is>
          <t>BQ-D60 · PMSM 32/60 kW</t>
        </is>
      </c>
      <c r="AK41" t="n">
        <v>12.4</v>
      </c>
    </row>
    <row r="42">
      <c r="A42" s="3" t="inlineStr">
        <is>
          <t>دايو نوبيرا</t>
        </is>
      </c>
      <c r="B42" s="3" t="inlineStr">
        <is>
          <t>1997–2008</t>
        </is>
      </c>
      <c r="C42" s="3" t="inlineStr">
        <is>
          <t>سيدان وهاتشباك متوسطة صغيرة (فئة C)</t>
        </is>
      </c>
      <c r="D42" s="3" t="inlineStr">
        <is>
          <t>يدوي</t>
        </is>
      </c>
      <c r="E42" s="3" t="n">
        <v>1200</v>
      </c>
      <c r="F42" s="3" t="n">
        <v>9</v>
      </c>
      <c r="G42" s="3" t="n">
        <v>92</v>
      </c>
      <c r="H42" s="3" t="n">
        <v>81</v>
      </c>
      <c r="I42" s="5" t="n">
        <v>16745</v>
      </c>
      <c r="J42" s="5" t="n">
        <v>3815</v>
      </c>
      <c r="K42" s="3" t="n">
        <v>419</v>
      </c>
      <c r="L42" s="6">
        <f>ROUND((I42*(1+'الافتراضات'!$B$9)+J42)*'الافتراضات'!$B$4,0)</f>
        <v/>
      </c>
      <c r="M42" s="3" t="n">
        <v>40.5</v>
      </c>
      <c r="N42" s="5" t="n">
        <v>7945</v>
      </c>
      <c r="O42" s="5" t="n">
        <v>1203</v>
      </c>
      <c r="P42" s="5" t="n">
        <v>15600</v>
      </c>
      <c r="Q42" s="3" t="n">
        <v>108</v>
      </c>
      <c r="R42" s="3" t="n">
        <v>150</v>
      </c>
      <c r="S42" s="3" t="n">
        <v>249</v>
      </c>
      <c r="T42" s="6">
        <f>ROUND(N42*(1+'الافتراضات'!$B$9)*'الافتراضات'!$B$4+O42*'الافتراضات'!$B$4+P42+Q42*'الافتراضات'!$B$10,0)</f>
        <v/>
      </c>
      <c r="U42" s="3" t="n">
        <v>81</v>
      </c>
      <c r="V42" s="3" t="n">
        <v>0</v>
      </c>
      <c r="W42" s="5" t="n">
        <v>12275</v>
      </c>
      <c r="X42" s="5" t="n">
        <v>1736</v>
      </c>
      <c r="Y42" s="5" t="n">
        <v>15600</v>
      </c>
      <c r="Z42" s="3" t="n">
        <v>108</v>
      </c>
      <c r="AA42" s="3" t="n">
        <v>157</v>
      </c>
      <c r="AB42" s="3" t="n">
        <v>475</v>
      </c>
      <c r="AC42" s="6">
        <f>ROUND(W42*(1+'الافتراضات'!$B$9)*'الافتراضات'!$B$4+X42*'الافتراضات'!$B$4+Y42+Z42*'الافتراضات'!$B$10,0)</f>
        <v/>
      </c>
      <c r="AD42" s="7">
        <f>1-T42/L42</f>
        <v/>
      </c>
      <c r="AE42" s="7">
        <f>AB42/K42-1</f>
        <v/>
      </c>
      <c r="AF42" s="6">
        <f>ROUND('الافتراضات'!$B$14*F42/100*IF(G42=80,'الافتراضات'!$B$5,IF(G42=95,'الافتراضات'!$B$7,'الافتراضات'!$B$6))-'الافتراضات'!$B$14*AA42/1000/'الافتراضات'!$B$13*'الافتراضات'!$B$8+'الافتراضات'!$B$14*'الافتراضات'!$B$12,0)</f>
        <v/>
      </c>
      <c r="AG42">
        <f>ROUND(MAX(0,AC42-'الافتراضات'!$B$11)/AF42,1)</f>
        <v/>
      </c>
      <c r="AH42" s="6">
        <f>ROUND('الافتراضات'!$B$15*F42/100*IF(G42=80,'الافتراضات'!$B$5,IF(G42=95,'الافتراضات'!$B$7,'الافتراضات'!$B$6))-'الافتراضات'!$B$15*AA42/1000/'الافتراضات'!$B$13*'الافتراضات'!$B$8+'الافتراضات'!$B$15*'الافتراضات'!$B$12,0)</f>
        <v/>
      </c>
      <c r="AI42">
        <f>ROUND(MAX(0,AC42-'الافتراضات'!$B$11)/AH42,1)</f>
        <v/>
      </c>
      <c r="AJ42" t="inlineStr">
        <is>
          <t>BQ-D60 · PMSM 32/60 kW</t>
        </is>
      </c>
      <c r="AK42" t="n">
        <v>13.7</v>
      </c>
    </row>
    <row r="43">
      <c r="A43" s="3" t="inlineStr">
        <is>
          <t>لادا 2105 / 2107</t>
        </is>
      </c>
      <c r="B43" s="3" t="inlineStr">
        <is>
          <t>1980–2012</t>
        </is>
      </c>
      <c r="C43" s="3" t="inlineStr">
        <is>
          <t>كلاسيكية (ما قبل 1990)</t>
        </is>
      </c>
      <c r="D43" s="3" t="inlineStr">
        <is>
          <t>يدوي</t>
        </is>
      </c>
      <c r="E43" s="3" t="n">
        <v>1030</v>
      </c>
      <c r="F43" s="3" t="n">
        <v>10</v>
      </c>
      <c r="G43" s="3" t="n">
        <v>80</v>
      </c>
      <c r="H43" s="3" t="n">
        <v>40.5</v>
      </c>
      <c r="I43" s="5" t="n">
        <v>10534</v>
      </c>
      <c r="J43" s="5" t="n">
        <v>3850</v>
      </c>
      <c r="K43" s="3" t="n">
        <v>214</v>
      </c>
      <c r="L43" s="6">
        <f>ROUND((I43*(1+'الافتراضات'!$B$9)+J43)*'الافتراضات'!$B$4,0)</f>
        <v/>
      </c>
      <c r="M43" s="3" t="n">
        <v>40.5</v>
      </c>
      <c r="N43" s="5" t="n">
        <v>7790</v>
      </c>
      <c r="O43" s="5" t="n">
        <v>1193</v>
      </c>
      <c r="P43" s="5" t="n">
        <v>15600</v>
      </c>
      <c r="Q43" s="3" t="n">
        <v>113</v>
      </c>
      <c r="R43" s="3" t="n">
        <v>155</v>
      </c>
      <c r="S43" s="3" t="n">
        <v>241</v>
      </c>
      <c r="T43" s="6">
        <f>ROUND(N43*(1+'الافتراضات'!$B$9)*'الافتراضات'!$B$4+O43*'الافتراضات'!$B$4+P43+Q43*'الافتراضات'!$B$10,0)</f>
        <v/>
      </c>
      <c r="U43" s="3" t="n">
        <v>40.5</v>
      </c>
      <c r="V43" s="3" t="n">
        <v>14.3</v>
      </c>
      <c r="W43" s="5" t="n">
        <v>10458</v>
      </c>
      <c r="X43" s="5" t="n">
        <v>1373</v>
      </c>
      <c r="Y43" s="5" t="n">
        <v>15600</v>
      </c>
      <c r="Z43" s="3" t="n">
        <v>117</v>
      </c>
      <c r="AA43" s="3" t="n">
        <v>158</v>
      </c>
      <c r="AB43" s="3" t="n">
        <v>310</v>
      </c>
      <c r="AC43" s="6">
        <f>ROUND(W43*(1+'الافتراضات'!$B$9)*'الافتراضات'!$B$4+X43*'الافتراضات'!$B$4+Y43+Z43*'الافتراضات'!$B$10,0)</f>
        <v/>
      </c>
      <c r="AD43" s="7">
        <f>1-T43/L43</f>
        <v/>
      </c>
      <c r="AE43" s="7">
        <f>AB43/K43-1</f>
        <v/>
      </c>
      <c r="AF43" s="6">
        <f>ROUND('الافتراضات'!$B$14*F43/100*IF(G43=80,'الافتراضات'!$B$5,IF(G43=95,'الافتراضات'!$B$7,'الافتراضات'!$B$6))-'الافتراضات'!$B$14*AA43/1000/'الافتراضات'!$B$13*'الافتراضات'!$B$8+'الافتراضات'!$B$14*'الافتراضات'!$B$12,0)</f>
        <v/>
      </c>
      <c r="AG43">
        <f>ROUND(MAX(0,AC43-'الافتراضات'!$B$11)/AF43,1)</f>
        <v/>
      </c>
      <c r="AH43" s="6">
        <f>ROUND('الافتراضات'!$B$15*F43/100*IF(G43=80,'الافتراضات'!$B$5,IF(G43=95,'الافتراضات'!$B$7,'الافتراضات'!$B$6))-'الافتراضات'!$B$15*AA43/1000/'الافتراضات'!$B$13*'الافتراضات'!$B$8+'الافتراضات'!$B$15*'الافتراضات'!$B$12,0)</f>
        <v/>
      </c>
      <c r="AI43">
        <f>ROUND(MAX(0,AC43-'الافتراضات'!$B$11)/AH43,1)</f>
        <v/>
      </c>
      <c r="AJ43" t="inlineStr">
        <is>
          <t>BQ-D60 · PMSM 32/60 kW</t>
        </is>
      </c>
      <c r="AK43" t="n">
        <v>12.2</v>
      </c>
    </row>
    <row r="44">
      <c r="A44" s="3" t="inlineStr">
        <is>
          <t>لادا جرانتا</t>
        </is>
      </c>
      <c r="B44" s="3" t="inlineStr">
        <is>
          <t>2011–2026</t>
        </is>
      </c>
      <c r="C44" s="3" t="inlineStr">
        <is>
          <t>هاتشباك وسيدان صغيرة (فئة B)</t>
        </is>
      </c>
      <c r="D44" s="3" t="inlineStr">
        <is>
          <t>يدوي</t>
        </is>
      </c>
      <c r="E44" s="3" t="n">
        <v>1100</v>
      </c>
      <c r="F44" s="3" t="n">
        <v>8</v>
      </c>
      <c r="G44" s="3" t="n">
        <v>92</v>
      </c>
      <c r="H44" s="3" t="n">
        <v>40.5</v>
      </c>
      <c r="I44" s="5" t="n">
        <v>11189</v>
      </c>
      <c r="J44" s="5" t="n">
        <v>3640</v>
      </c>
      <c r="K44" s="3" t="n">
        <v>228</v>
      </c>
      <c r="L44" s="6">
        <f>ROUND((I44*(1+'الافتراضات'!$B$9)+J44)*'الافتراضات'!$B$4,0)</f>
        <v/>
      </c>
      <c r="M44" s="3" t="n">
        <v>40.5</v>
      </c>
      <c r="N44" s="5" t="n">
        <v>7790</v>
      </c>
      <c r="O44" s="5" t="n">
        <v>1196</v>
      </c>
      <c r="P44" s="5" t="n">
        <v>15600</v>
      </c>
      <c r="Q44" s="3" t="n">
        <v>103</v>
      </c>
      <c r="R44" s="3" t="n">
        <v>145</v>
      </c>
      <c r="S44" s="3" t="n">
        <v>258</v>
      </c>
      <c r="T44" s="6">
        <f>ROUND(N44*(1+'الافتراضات'!$B$9)*'الافتراضات'!$B$4+O44*'الافتراضات'!$B$4+P44+Q44*'الافتراضات'!$B$10,0)</f>
        <v/>
      </c>
      <c r="U44" s="3" t="n">
        <v>40.5</v>
      </c>
      <c r="V44" s="3" t="n">
        <v>14.3</v>
      </c>
      <c r="W44" s="5" t="n">
        <v>10458</v>
      </c>
      <c r="X44" s="5" t="n">
        <v>1376</v>
      </c>
      <c r="Y44" s="5" t="n">
        <v>15600</v>
      </c>
      <c r="Z44" s="3" t="n">
        <v>107</v>
      </c>
      <c r="AA44" s="3" t="n">
        <v>148</v>
      </c>
      <c r="AB44" s="3" t="n">
        <v>331</v>
      </c>
      <c r="AC44" s="6">
        <f>ROUND(W44*(1+'الافتراضات'!$B$9)*'الافتراضات'!$B$4+X44*'الافتراضات'!$B$4+Y44+Z44*'الافتراضات'!$B$10,0)</f>
        <v/>
      </c>
      <c r="AD44" s="7">
        <f>1-T44/L44</f>
        <v/>
      </c>
      <c r="AE44" s="7">
        <f>AB44/K44-1</f>
        <v/>
      </c>
      <c r="AF44" s="6">
        <f>ROUND('الافتراضات'!$B$14*F44/100*IF(G44=80,'الافتراضات'!$B$5,IF(G44=95,'الافتراضات'!$B$7,'الافتراضات'!$B$6))-'الافتراضات'!$B$14*AA44/1000/'الافتراضات'!$B$13*'الافتراضات'!$B$8+'الافتراضات'!$B$14*'الافتراضات'!$B$12,0)</f>
        <v/>
      </c>
      <c r="AG44">
        <f>ROUND(MAX(0,AC44-'الافتراضات'!$B$11)/AF44,1)</f>
        <v/>
      </c>
      <c r="AH44" s="6">
        <f>ROUND('الافتراضات'!$B$15*F44/100*IF(G44=80,'الافتراضات'!$B$5,IF(G44=95,'الافتراضات'!$B$7,'الافتراضات'!$B$6))-'الافتراضات'!$B$15*AA44/1000/'الافتراضات'!$B$13*'الافتراضات'!$B$8+'الافتراضات'!$B$15*'الافتراضات'!$B$12,0)</f>
        <v/>
      </c>
      <c r="AI44">
        <f>ROUND(MAX(0,AC44-'الافتراضات'!$B$11)/AH44,1)</f>
        <v/>
      </c>
      <c r="AJ44" t="inlineStr">
        <is>
          <t>BQ-D60 · PMSM 32/60 kW</t>
        </is>
      </c>
      <c r="AK44" t="n">
        <v>12.9</v>
      </c>
    </row>
    <row r="45">
      <c r="A45" s="3" t="inlineStr">
        <is>
          <t>إم جي 5</t>
        </is>
      </c>
      <c r="B45" s="3" t="inlineStr">
        <is>
          <t>2020–2026</t>
        </is>
      </c>
      <c r="C45" s="3" t="inlineStr">
        <is>
          <t>سيدان وهاتشباك متوسطة صغيرة (فئة C)</t>
        </is>
      </c>
      <c r="D45" s="3" t="inlineStr">
        <is>
          <t>أوتوماتيك</t>
        </is>
      </c>
      <c r="E45" s="3" t="n">
        <v>1200</v>
      </c>
      <c r="F45" s="3" t="n">
        <v>7</v>
      </c>
      <c r="G45" s="3" t="n">
        <v>92</v>
      </c>
      <c r="H45" s="3" t="n">
        <v>81</v>
      </c>
      <c r="I45" s="5" t="n">
        <v>16590</v>
      </c>
      <c r="J45" s="5" t="n">
        <v>3815</v>
      </c>
      <c r="K45" s="3" t="n">
        <v>419</v>
      </c>
      <c r="L45" s="6">
        <f>ROUND((I45*(1+'الافتراضات'!$B$9)+J45)*'الافتراضات'!$B$4,0)</f>
        <v/>
      </c>
      <c r="M45" s="3" t="n">
        <v>40.5</v>
      </c>
      <c r="N45" s="5" t="n">
        <v>8690</v>
      </c>
      <c r="O45" s="5" t="n">
        <v>1041</v>
      </c>
      <c r="P45" s="5" t="n">
        <v>15600</v>
      </c>
      <c r="Q45" s="3" t="n">
        <v>112</v>
      </c>
      <c r="R45" s="3" t="n">
        <v>149</v>
      </c>
      <c r="S45" s="3" t="n">
        <v>251</v>
      </c>
      <c r="T45" s="6">
        <f>ROUND(N45*(1+'الافتراضات'!$B$9)*'الافتراضات'!$B$4+O45*'الافتراضات'!$B$4+P45+Q45*'الافتراضات'!$B$10,0)</f>
        <v/>
      </c>
      <c r="U45" s="3" t="n">
        <v>81</v>
      </c>
      <c r="V45" s="3" t="n">
        <v>5.12</v>
      </c>
      <c r="W45" s="5" t="n">
        <v>15582</v>
      </c>
      <c r="X45" s="5" t="n">
        <v>1664</v>
      </c>
      <c r="Y45" s="5" t="n">
        <v>15600</v>
      </c>
      <c r="Z45" s="3" t="n">
        <v>116</v>
      </c>
      <c r="AA45" s="3" t="n">
        <v>158</v>
      </c>
      <c r="AB45" s="3" t="n">
        <v>499</v>
      </c>
      <c r="AC45" s="6">
        <f>ROUND(W45*(1+'الافتراضات'!$B$9)*'الافتراضات'!$B$4+X45*'الافتراضات'!$B$4+Y45+Z45*'الافتراضات'!$B$10,0)</f>
        <v/>
      </c>
      <c r="AD45" s="7">
        <f>1-T45/L45</f>
        <v/>
      </c>
      <c r="AE45" s="7">
        <f>AB45/K45-1</f>
        <v/>
      </c>
      <c r="AF45" s="6">
        <f>ROUND('الافتراضات'!$B$14*F45/100*IF(G45=80,'الافتراضات'!$B$5,IF(G45=95,'الافتراضات'!$B$7,'الافتراضات'!$B$6))-'الافتراضات'!$B$14*AA45/1000/'الافتراضات'!$B$13*'الافتراضات'!$B$8+'الافتراضات'!$B$14*'الافتراضات'!$B$12,0)</f>
        <v/>
      </c>
      <c r="AG45">
        <f>ROUND(MAX(0,AC45-'الافتراضات'!$B$11)/AF45,1)</f>
        <v/>
      </c>
      <c r="AH45" s="6">
        <f>ROUND('الافتراضات'!$B$15*F45/100*IF(G45=80,'الافتراضات'!$B$5,IF(G45=95,'الافتراضات'!$B$7,'الافتراضات'!$B$6))-'الافتراضات'!$B$15*AA45/1000/'الافتراضات'!$B$13*'الافتراضات'!$B$8+'الافتراضات'!$B$15*'الافتراضات'!$B$12,0)</f>
        <v/>
      </c>
      <c r="AI45">
        <f>ROUND(MAX(0,AC45-'الافتراضات'!$B$11)/AH45,1)</f>
        <v/>
      </c>
      <c r="AJ45" t="inlineStr">
        <is>
          <t>BQ-D60 · PMSM 32/60 kW</t>
        </is>
      </c>
      <c r="AK45" t="n">
        <v>13.4</v>
      </c>
    </row>
    <row r="46">
      <c r="A46" s="3" t="inlineStr">
        <is>
          <t>إم جي ZS</t>
        </is>
      </c>
      <c r="B46" s="3" t="inlineStr">
        <is>
          <t>2017–2026</t>
        </is>
      </c>
      <c r="C46" s="3" t="inlineStr">
        <is>
          <t>SUV وكروس أوفر صغيرة</t>
        </is>
      </c>
      <c r="D46" s="3" t="inlineStr">
        <is>
          <t>أوتوماتيك</t>
        </is>
      </c>
      <c r="E46" s="3" t="n">
        <v>1300</v>
      </c>
      <c r="F46" s="3" t="n">
        <v>8</v>
      </c>
      <c r="G46" s="3" t="n">
        <v>92</v>
      </c>
      <c r="H46" s="3" t="n">
        <v>81</v>
      </c>
      <c r="I46" s="5" t="n">
        <v>16585</v>
      </c>
      <c r="J46" s="5" t="n">
        <v>3815</v>
      </c>
      <c r="K46" s="3" t="n">
        <v>380</v>
      </c>
      <c r="L46" s="6">
        <f>ROUND((I46*(1+'الافتراضات'!$B$9)+J46)*'الافتراضات'!$B$4,0)</f>
        <v/>
      </c>
      <c r="M46" s="3" t="n">
        <v>40.5</v>
      </c>
      <c r="N46" s="5" t="n">
        <v>10390</v>
      </c>
      <c r="O46" s="5" t="n">
        <v>1037</v>
      </c>
      <c r="P46" s="5" t="n">
        <v>15600</v>
      </c>
      <c r="Q46" s="3" t="n">
        <v>112</v>
      </c>
      <c r="R46" s="3" t="n">
        <v>167</v>
      </c>
      <c r="S46" s="3" t="n">
        <v>223</v>
      </c>
      <c r="T46" s="6">
        <f>ROUND(N46*(1+'الافتراضات'!$B$9)*'الافتراضات'!$B$4+O46*'الافتراضات'!$B$4+P46+Q46*'الافتراضات'!$B$10,0)</f>
        <v/>
      </c>
      <c r="U46" s="3" t="n">
        <v>81</v>
      </c>
      <c r="V46" s="3" t="n">
        <v>5.12</v>
      </c>
      <c r="W46" s="5" t="n">
        <v>15582</v>
      </c>
      <c r="X46" s="5" t="n">
        <v>1660</v>
      </c>
      <c r="Y46" s="5" t="n">
        <v>15600</v>
      </c>
      <c r="Z46" s="3" t="n">
        <v>116</v>
      </c>
      <c r="AA46" s="3" t="n">
        <v>175</v>
      </c>
      <c r="AB46" s="3" t="n">
        <v>449</v>
      </c>
      <c r="AC46" s="6">
        <f>ROUND(W46*(1+'الافتراضات'!$B$9)*'الافتراضات'!$B$4+X46*'الافتراضات'!$B$4+Y46+Z46*'الافتراضات'!$B$10,0)</f>
        <v/>
      </c>
      <c r="AD46" s="7">
        <f>1-T46/L46</f>
        <v/>
      </c>
      <c r="AE46" s="7">
        <f>AB46/K46-1</f>
        <v/>
      </c>
      <c r="AF46" s="6">
        <f>ROUND('الافتراضات'!$B$14*F46/100*IF(G46=80,'الافتراضات'!$B$5,IF(G46=95,'الافتراضات'!$B$7,'الافتراضات'!$B$6))-'الافتراضات'!$B$14*AA46/1000/'الافتراضات'!$B$13*'الافتراضات'!$B$8+'الافتراضات'!$B$14*'الافتراضات'!$B$12,0)</f>
        <v/>
      </c>
      <c r="AG46">
        <f>ROUND(MAX(0,AC46-'الافتراضات'!$B$11)/AF46,1)</f>
        <v/>
      </c>
      <c r="AH46" s="6">
        <f>ROUND('الافتراضات'!$B$15*F46/100*IF(G46=80,'الافتراضات'!$B$5,IF(G46=95,'الافتراضات'!$B$7,'الافتراضات'!$B$6))-'الافتراضات'!$B$15*AA46/1000/'الافتراضات'!$B$13*'الافتراضات'!$B$8+'الافتراضات'!$B$15*'الافتراضات'!$B$12,0)</f>
        <v/>
      </c>
      <c r="AI46">
        <f>ROUND(MAX(0,AC46-'الافتراضات'!$B$11)/AH46,1)</f>
        <v/>
      </c>
      <c r="AJ46" t="inlineStr">
        <is>
          <t>BQ-D100 · PMSM 50/100 kW</t>
        </is>
      </c>
      <c r="AK46" t="n">
        <v>8.800000000000001</v>
      </c>
    </row>
    <row r="47">
      <c r="A47" s="3" t="inlineStr">
        <is>
          <t>سبيرانزا A113 (شيري)</t>
        </is>
      </c>
      <c r="B47" s="3" t="inlineStr">
        <is>
          <t>2008–2016</t>
        </is>
      </c>
      <c r="C47" s="3" t="inlineStr">
        <is>
          <t>هاتشباك وسيدان صغيرة (فئة B)</t>
        </is>
      </c>
      <c r="D47" s="3" t="inlineStr">
        <is>
          <t>يدوي</t>
        </is>
      </c>
      <c r="E47" s="3" t="n">
        <v>950</v>
      </c>
      <c r="F47" s="3" t="n">
        <v>7.5</v>
      </c>
      <c r="G47" s="3" t="n">
        <v>92</v>
      </c>
      <c r="H47" s="3" t="n">
        <v>40.5</v>
      </c>
      <c r="I47" s="5" t="n">
        <v>11189</v>
      </c>
      <c r="J47" s="5" t="n">
        <v>3640</v>
      </c>
      <c r="K47" s="3" t="n">
        <v>238</v>
      </c>
      <c r="L47" s="6">
        <f>ROUND((I47*(1+'الافتراضات'!$B$9)+J47)*'الافتراضات'!$B$4,0)</f>
        <v/>
      </c>
      <c r="M47" s="3" t="n">
        <v>40.5</v>
      </c>
      <c r="N47" s="5" t="n">
        <v>7790</v>
      </c>
      <c r="O47" s="5" t="n">
        <v>1196</v>
      </c>
      <c r="P47" s="5" t="n">
        <v>15600</v>
      </c>
      <c r="Q47" s="3" t="n">
        <v>103</v>
      </c>
      <c r="R47" s="3" t="n">
        <v>139</v>
      </c>
      <c r="S47" s="3" t="n">
        <v>268</v>
      </c>
      <c r="T47" s="6">
        <f>ROUND(N47*(1+'الافتراضات'!$B$9)*'الافتراضات'!$B$4+O47*'الافتراضات'!$B$4+P47+Q47*'الافتراضات'!$B$10,0)</f>
        <v/>
      </c>
      <c r="U47" s="3" t="n">
        <v>40.5</v>
      </c>
      <c r="V47" s="3" t="n">
        <v>14.3</v>
      </c>
      <c r="W47" s="5" t="n">
        <v>10458</v>
      </c>
      <c r="X47" s="5" t="n">
        <v>1376</v>
      </c>
      <c r="Y47" s="5" t="n">
        <v>15600</v>
      </c>
      <c r="Z47" s="3" t="n">
        <v>107</v>
      </c>
      <c r="AA47" s="3" t="n">
        <v>143</v>
      </c>
      <c r="AB47" s="3" t="n">
        <v>344</v>
      </c>
      <c r="AC47" s="6">
        <f>ROUND(W47*(1+'الافتراضات'!$B$9)*'الافتراضات'!$B$4+X47*'الافتراضات'!$B$4+Y47+Z47*'الافتراضات'!$B$10,0)</f>
        <v/>
      </c>
      <c r="AD47" s="7">
        <f>1-T47/L47</f>
        <v/>
      </c>
      <c r="AE47" s="7">
        <f>AB47/K47-1</f>
        <v/>
      </c>
      <c r="AF47" s="6">
        <f>ROUND('الافتراضات'!$B$14*F47/100*IF(G47=80,'الافتراضات'!$B$5,IF(G47=95,'الافتراضات'!$B$7,'الافتراضات'!$B$6))-'الافتراضات'!$B$14*AA47/1000/'الافتراضات'!$B$13*'الافتراضات'!$B$8+'الافتراضات'!$B$14*'الافتراضات'!$B$12,0)</f>
        <v/>
      </c>
      <c r="AG47">
        <f>ROUND(MAX(0,AC47-'الافتراضات'!$B$11)/AF47,1)</f>
        <v/>
      </c>
      <c r="AH47" s="6">
        <f>ROUND('الافتراضات'!$B$15*F47/100*IF(G47=80,'الافتراضات'!$B$5,IF(G47=95,'الافتراضات'!$B$7,'الافتراضات'!$B$6))-'الافتراضات'!$B$15*AA47/1000/'الافتراضات'!$B$13*'الافتراضات'!$B$8+'الافتراضات'!$B$15*'الافتراضات'!$B$12,0)</f>
        <v/>
      </c>
      <c r="AI47">
        <f>ROUND(MAX(0,AC47-'الافتراضات'!$B$11)/AH47,1)</f>
        <v/>
      </c>
      <c r="AJ47" t="inlineStr">
        <is>
          <t>BQ-D60 · PMSM 32/60 kW</t>
        </is>
      </c>
      <c r="AK47" t="n">
        <v>11.4</v>
      </c>
    </row>
    <row r="48">
      <c r="A48" s="3" t="inlineStr">
        <is>
          <t>شيري تيجو 3</t>
        </is>
      </c>
      <c r="B48" s="3" t="inlineStr">
        <is>
          <t>2014–2026</t>
        </is>
      </c>
      <c r="C48" s="3" t="inlineStr">
        <is>
          <t>SUV وكروس أوفر صغيرة</t>
        </is>
      </c>
      <c r="D48" s="3" t="inlineStr">
        <is>
          <t>يدوي</t>
        </is>
      </c>
      <c r="E48" s="3" t="n">
        <v>1300</v>
      </c>
      <c r="F48" s="3" t="n">
        <v>9</v>
      </c>
      <c r="G48" s="3" t="n">
        <v>92</v>
      </c>
      <c r="H48" s="3" t="n">
        <v>81</v>
      </c>
      <c r="I48" s="5" t="n">
        <v>16585</v>
      </c>
      <c r="J48" s="5" t="n">
        <v>3815</v>
      </c>
      <c r="K48" s="3" t="n">
        <v>380</v>
      </c>
      <c r="L48" s="6">
        <f>ROUND((I48*(1+'الافتراضات'!$B$9)+J48)*'الافتراضات'!$B$4,0)</f>
        <v/>
      </c>
      <c r="M48" s="3" t="n">
        <v>40.5</v>
      </c>
      <c r="N48" s="5" t="n">
        <v>9490</v>
      </c>
      <c r="O48" s="5" t="n">
        <v>1200</v>
      </c>
      <c r="P48" s="5" t="n">
        <v>15600</v>
      </c>
      <c r="Q48" s="3" t="n">
        <v>108</v>
      </c>
      <c r="R48" s="3" t="n">
        <v>168</v>
      </c>
      <c r="S48" s="3" t="n">
        <v>222</v>
      </c>
      <c r="T48" s="6">
        <f>ROUND(N48*(1+'الافتراضات'!$B$9)*'الافتراضات'!$B$4+O48*'الافتراضات'!$B$4+P48+Q48*'الافتراضات'!$B$10,0)</f>
        <v/>
      </c>
      <c r="U48" s="3" t="n">
        <v>81</v>
      </c>
      <c r="V48" s="3" t="n">
        <v>0</v>
      </c>
      <c r="W48" s="5" t="n">
        <v>12120</v>
      </c>
      <c r="X48" s="5" t="n">
        <v>1733</v>
      </c>
      <c r="Y48" s="5" t="n">
        <v>15600</v>
      </c>
      <c r="Z48" s="3" t="n">
        <v>108</v>
      </c>
      <c r="AA48" s="3" t="n">
        <v>175</v>
      </c>
      <c r="AB48" s="3" t="n">
        <v>427</v>
      </c>
      <c r="AC48" s="6">
        <f>ROUND(W48*(1+'الافتراضات'!$B$9)*'الافتراضات'!$B$4+X48*'الافتراضات'!$B$4+Y48+Z48*'الافتراضات'!$B$10,0)</f>
        <v/>
      </c>
      <c r="AD48" s="7">
        <f>1-T48/L48</f>
        <v/>
      </c>
      <c r="AE48" s="7">
        <f>AB48/K48-1</f>
        <v/>
      </c>
      <c r="AF48" s="6">
        <f>ROUND('الافتراضات'!$B$14*F48/100*IF(G48=80,'الافتراضات'!$B$5,IF(G48=95,'الافتراضات'!$B$7,'الافتراضات'!$B$6))-'الافتراضات'!$B$14*AA48/1000/'الافتراضات'!$B$13*'الافتراضات'!$B$8+'الافتراضات'!$B$14*'الافتراضات'!$B$12,0)</f>
        <v/>
      </c>
      <c r="AG48">
        <f>ROUND(MAX(0,AC48-'الافتراضات'!$B$11)/AF48,1)</f>
        <v/>
      </c>
      <c r="AH48" s="6">
        <f>ROUND('الافتراضات'!$B$15*F48/100*IF(G48=80,'الافتراضات'!$B$5,IF(G48=95,'الافتراضات'!$B$7,'الافتراضات'!$B$6))-'الافتراضات'!$B$15*AA48/1000/'الافتراضات'!$B$13*'الافتراضات'!$B$8+'الافتراضات'!$B$15*'الافتراضات'!$B$12,0)</f>
        <v/>
      </c>
      <c r="AI48">
        <f>ROUND(MAX(0,AC48-'الافتراضات'!$B$11)/AH48,1)</f>
        <v/>
      </c>
      <c r="AJ48" t="inlineStr">
        <is>
          <t>BQ-D100 · PMSM 50/100 kW</t>
        </is>
      </c>
      <c r="AK48" t="n">
        <v>8.9</v>
      </c>
    </row>
    <row r="49">
      <c r="A49" s="3" t="inlineStr">
        <is>
          <t>شيري أريزو 5</t>
        </is>
      </c>
      <c r="B49" s="3" t="inlineStr">
        <is>
          <t>2016–2026</t>
        </is>
      </c>
      <c r="C49" s="3" t="inlineStr">
        <is>
          <t>سيدان وهاتشباك متوسطة صغيرة (فئة C)</t>
        </is>
      </c>
      <c r="D49" s="3" t="inlineStr">
        <is>
          <t>يدوي</t>
        </is>
      </c>
      <c r="E49" s="3" t="n">
        <v>1250</v>
      </c>
      <c r="F49" s="3" t="n">
        <v>8</v>
      </c>
      <c r="G49" s="3" t="n">
        <v>92</v>
      </c>
      <c r="H49" s="3" t="n">
        <v>81</v>
      </c>
      <c r="I49" s="5" t="n">
        <v>16590</v>
      </c>
      <c r="J49" s="5" t="n">
        <v>3815</v>
      </c>
      <c r="K49" s="3" t="n">
        <v>413</v>
      </c>
      <c r="L49" s="6">
        <f>ROUND((I49*(1+'الافتراضات'!$B$9)+J49)*'الافتراضات'!$B$4,0)</f>
        <v/>
      </c>
      <c r="M49" s="3" t="n">
        <v>40.5</v>
      </c>
      <c r="N49" s="5" t="n">
        <v>9490</v>
      </c>
      <c r="O49" s="5" t="n">
        <v>1203</v>
      </c>
      <c r="P49" s="5" t="n">
        <v>15600</v>
      </c>
      <c r="Q49" s="3" t="n">
        <v>108</v>
      </c>
      <c r="R49" s="3" t="n">
        <v>152</v>
      </c>
      <c r="S49" s="3" t="n">
        <v>245</v>
      </c>
      <c r="T49" s="6">
        <f>ROUND(N49*(1+'الافتراضات'!$B$9)*'الافتراضات'!$B$4+O49*'الافتراضات'!$B$4+P49+Q49*'الافتراضات'!$B$10,0)</f>
        <v/>
      </c>
      <c r="U49" s="3" t="n">
        <v>81</v>
      </c>
      <c r="V49" s="3" t="n">
        <v>0</v>
      </c>
      <c r="W49" s="5" t="n">
        <v>12120</v>
      </c>
      <c r="X49" s="5" t="n">
        <v>1736</v>
      </c>
      <c r="Y49" s="5" t="n">
        <v>15600</v>
      </c>
      <c r="Z49" s="3" t="n">
        <v>108</v>
      </c>
      <c r="AA49" s="3" t="n">
        <v>159</v>
      </c>
      <c r="AB49" s="3" t="n">
        <v>469</v>
      </c>
      <c r="AC49" s="6">
        <f>ROUND(W49*(1+'الافتراضات'!$B$9)*'الافتراضات'!$B$4+X49*'الافتراضات'!$B$4+Y49+Z49*'الافتراضات'!$B$10,0)</f>
        <v/>
      </c>
      <c r="AD49" s="7">
        <f>1-T49/L49</f>
        <v/>
      </c>
      <c r="AE49" s="7">
        <f>AB49/K49-1</f>
        <v/>
      </c>
      <c r="AF49" s="6">
        <f>ROUND('الافتراضات'!$B$14*F49/100*IF(G49=80,'الافتراضات'!$B$5,IF(G49=95,'الافتراضات'!$B$7,'الافتراضات'!$B$6))-'الافتراضات'!$B$14*AA49/1000/'الافتراضات'!$B$13*'الافتراضات'!$B$8+'الافتراضات'!$B$14*'الافتراضات'!$B$12,0)</f>
        <v/>
      </c>
      <c r="AG49">
        <f>ROUND(MAX(0,AC49-'الافتراضات'!$B$11)/AF49,1)</f>
        <v/>
      </c>
      <c r="AH49" s="6">
        <f>ROUND('الافتراضات'!$B$15*F49/100*IF(G49=80,'الافتراضات'!$B$5,IF(G49=95,'الافتراضات'!$B$7,'الافتراضات'!$B$6))-'الافتراضات'!$B$15*AA49/1000/'الافتراضات'!$B$13*'الافتراضات'!$B$8+'الافتراضات'!$B$15*'الافتراضات'!$B$12,0)</f>
        <v/>
      </c>
      <c r="AI49">
        <f>ROUND(MAX(0,AC49-'الافتراضات'!$B$11)/AH49,1)</f>
        <v/>
      </c>
      <c r="AJ49" t="inlineStr">
        <is>
          <t>BQ-D100 · PMSM 50/100 kW</t>
        </is>
      </c>
      <c r="AK49" t="n">
        <v>8.6</v>
      </c>
    </row>
    <row r="50">
      <c r="A50" s="3" t="inlineStr">
        <is>
          <t>بي واي دي F3</t>
        </is>
      </c>
      <c r="B50" s="3" t="inlineStr">
        <is>
          <t>2005–2020</t>
        </is>
      </c>
      <c r="C50" s="3" t="inlineStr">
        <is>
          <t>سيدان وهاتشباك متوسطة صغيرة (فئة C)</t>
        </is>
      </c>
      <c r="D50" s="3" t="inlineStr">
        <is>
          <t>يدوي</t>
        </is>
      </c>
      <c r="E50" s="3" t="n">
        <v>1200</v>
      </c>
      <c r="F50" s="3" t="n">
        <v>8.5</v>
      </c>
      <c r="G50" s="3" t="n">
        <v>92</v>
      </c>
      <c r="H50" s="3" t="n">
        <v>81</v>
      </c>
      <c r="I50" s="5" t="n">
        <v>16590</v>
      </c>
      <c r="J50" s="5" t="n">
        <v>3815</v>
      </c>
      <c r="K50" s="3" t="n">
        <v>419</v>
      </c>
      <c r="L50" s="6">
        <f>ROUND((I50*(1+'الافتراضات'!$B$9)+J50)*'الافتراضات'!$B$4,0)</f>
        <v/>
      </c>
      <c r="M50" s="3" t="n">
        <v>40.5</v>
      </c>
      <c r="N50" s="5" t="n">
        <v>7790</v>
      </c>
      <c r="O50" s="5" t="n">
        <v>1203</v>
      </c>
      <c r="P50" s="5" t="n">
        <v>15600</v>
      </c>
      <c r="Q50" s="3" t="n">
        <v>108</v>
      </c>
      <c r="R50" s="3" t="n">
        <v>150</v>
      </c>
      <c r="S50" s="3" t="n">
        <v>249</v>
      </c>
      <c r="T50" s="6">
        <f>ROUND(N50*(1+'الافتراضات'!$B$9)*'الافتراضات'!$B$4+O50*'الافتراضات'!$B$4+P50+Q50*'الافتراضات'!$B$10,0)</f>
        <v/>
      </c>
      <c r="U50" s="3" t="n">
        <v>81</v>
      </c>
      <c r="V50" s="3" t="n">
        <v>0</v>
      </c>
      <c r="W50" s="5" t="n">
        <v>12120</v>
      </c>
      <c r="X50" s="5" t="n">
        <v>1736</v>
      </c>
      <c r="Y50" s="5" t="n">
        <v>15600</v>
      </c>
      <c r="Z50" s="3" t="n">
        <v>108</v>
      </c>
      <c r="AA50" s="3" t="n">
        <v>157</v>
      </c>
      <c r="AB50" s="3" t="n">
        <v>475</v>
      </c>
      <c r="AC50" s="6">
        <f>ROUND(W50*(1+'الافتراضات'!$B$9)*'الافتراضات'!$B$4+X50*'الافتراضات'!$B$4+Y50+Z50*'الافتراضات'!$B$10,0)</f>
        <v/>
      </c>
      <c r="AD50" s="7">
        <f>1-T50/L50</f>
        <v/>
      </c>
      <c r="AE50" s="7">
        <f>AB50/K50-1</f>
        <v/>
      </c>
      <c r="AF50" s="6">
        <f>ROUND('الافتراضات'!$B$14*F50/100*IF(G50=80,'الافتراضات'!$B$5,IF(G50=95,'الافتراضات'!$B$7,'الافتراضات'!$B$6))-'الافتراضات'!$B$14*AA50/1000/'الافتراضات'!$B$13*'الافتراضات'!$B$8+'الافتراضات'!$B$14*'الافتراضات'!$B$12,0)</f>
        <v/>
      </c>
      <c r="AG50">
        <f>ROUND(MAX(0,AC50-'الافتراضات'!$B$11)/AF50,1)</f>
        <v/>
      </c>
      <c r="AH50" s="6">
        <f>ROUND('الافتراضات'!$B$15*F50/100*IF(G50=80,'الافتراضات'!$B$5,IF(G50=95,'الافتراضات'!$B$7,'الافتراضات'!$B$6))-'الافتراضات'!$B$15*AA50/1000/'الافتراضات'!$B$13*'الافتراضات'!$B$8+'الافتراضات'!$B$15*'الافتراضات'!$B$12,0)</f>
        <v/>
      </c>
      <c r="AI50">
        <f>ROUND(MAX(0,AC50-'الافتراضات'!$B$11)/AH50,1)</f>
        <v/>
      </c>
      <c r="AJ50" t="inlineStr">
        <is>
          <t>BQ-D60 · PMSM 32/60 kW</t>
        </is>
      </c>
      <c r="AK50" t="n">
        <v>13.7</v>
      </c>
    </row>
    <row r="51">
      <c r="A51" s="3" t="inlineStr">
        <is>
          <t>جيلي إمجراند 7</t>
        </is>
      </c>
      <c r="B51" s="3" t="inlineStr">
        <is>
          <t>2009–2026</t>
        </is>
      </c>
      <c r="C51" s="3" t="inlineStr">
        <is>
          <t>سيدان وهاتشباك متوسطة صغيرة (فئة C)</t>
        </is>
      </c>
      <c r="D51" s="3" t="inlineStr">
        <is>
          <t>يدوي</t>
        </is>
      </c>
      <c r="E51" s="3" t="n">
        <v>1200</v>
      </c>
      <c r="F51" s="3" t="n">
        <v>8</v>
      </c>
      <c r="G51" s="3" t="n">
        <v>92</v>
      </c>
      <c r="H51" s="3" t="n">
        <v>81</v>
      </c>
      <c r="I51" s="5" t="n">
        <v>16590</v>
      </c>
      <c r="J51" s="5" t="n">
        <v>3815</v>
      </c>
      <c r="K51" s="3" t="n">
        <v>419</v>
      </c>
      <c r="L51" s="6">
        <f>ROUND((I51*(1+'الافتراضات'!$B$9)+J51)*'الافتراضات'!$B$4,0)</f>
        <v/>
      </c>
      <c r="M51" s="3" t="n">
        <v>40.5</v>
      </c>
      <c r="N51" s="5" t="n">
        <v>7790</v>
      </c>
      <c r="O51" s="5" t="n">
        <v>1203</v>
      </c>
      <c r="P51" s="5" t="n">
        <v>15600</v>
      </c>
      <c r="Q51" s="3" t="n">
        <v>108</v>
      </c>
      <c r="R51" s="3" t="n">
        <v>150</v>
      </c>
      <c r="S51" s="3" t="n">
        <v>249</v>
      </c>
      <c r="T51" s="6">
        <f>ROUND(N51*(1+'الافتراضات'!$B$9)*'الافتراضات'!$B$4+O51*'الافتراضات'!$B$4+P51+Q51*'الافتراضات'!$B$10,0)</f>
        <v/>
      </c>
      <c r="U51" s="3" t="n">
        <v>81</v>
      </c>
      <c r="V51" s="3" t="n">
        <v>0</v>
      </c>
      <c r="W51" s="5" t="n">
        <v>12120</v>
      </c>
      <c r="X51" s="5" t="n">
        <v>1736</v>
      </c>
      <c r="Y51" s="5" t="n">
        <v>15600</v>
      </c>
      <c r="Z51" s="3" t="n">
        <v>108</v>
      </c>
      <c r="AA51" s="3" t="n">
        <v>157</v>
      </c>
      <c r="AB51" s="3" t="n">
        <v>475</v>
      </c>
      <c r="AC51" s="6">
        <f>ROUND(W51*(1+'الافتراضات'!$B$9)*'الافتراضات'!$B$4+X51*'الافتراضات'!$B$4+Y51+Z51*'الافتراضات'!$B$10,0)</f>
        <v/>
      </c>
      <c r="AD51" s="7">
        <f>1-T51/L51</f>
        <v/>
      </c>
      <c r="AE51" s="7">
        <f>AB51/K51-1</f>
        <v/>
      </c>
      <c r="AF51" s="6">
        <f>ROUND('الافتراضات'!$B$14*F51/100*IF(G51=80,'الافتراضات'!$B$5,IF(G51=95,'الافتراضات'!$B$7,'الافتراضات'!$B$6))-'الافتراضات'!$B$14*AA51/1000/'الافتراضات'!$B$13*'الافتراضات'!$B$8+'الافتراضات'!$B$14*'الافتراضات'!$B$12,0)</f>
        <v/>
      </c>
      <c r="AG51">
        <f>ROUND(MAX(0,AC51-'الافتراضات'!$B$11)/AF51,1)</f>
        <v/>
      </c>
      <c r="AH51" s="6">
        <f>ROUND('الافتراضات'!$B$15*F51/100*IF(G51=80,'الافتراضات'!$B$5,IF(G51=95,'الافتراضات'!$B$7,'الافتراضات'!$B$6))-'الافتراضات'!$B$15*AA51/1000/'الافتراضات'!$B$13*'الافتراضات'!$B$8+'الافتراضات'!$B$15*'الافتراضات'!$B$12,0)</f>
        <v/>
      </c>
      <c r="AI51">
        <f>ROUND(MAX(0,AC51-'الافتراضات'!$B$11)/AH51,1)</f>
        <v/>
      </c>
      <c r="AJ51" t="inlineStr">
        <is>
          <t>BQ-D60 · PMSM 32/60 kW</t>
        </is>
      </c>
      <c r="AK51" t="n">
        <v>13.7</v>
      </c>
    </row>
    <row r="52">
      <c r="A52" s="3" t="inlineStr">
        <is>
          <t>بروتون جين 2</t>
        </is>
      </c>
      <c r="B52" s="3" t="inlineStr">
        <is>
          <t>2004–2012</t>
        </is>
      </c>
      <c r="C52" s="3" t="inlineStr">
        <is>
          <t>سيدان وهاتشباك متوسطة صغيرة (فئة C)</t>
        </is>
      </c>
      <c r="D52" s="3" t="inlineStr">
        <is>
          <t>يدوي</t>
        </is>
      </c>
      <c r="E52" s="3" t="n">
        <v>1180</v>
      </c>
      <c r="F52" s="3" t="n">
        <v>8.5</v>
      </c>
      <c r="G52" s="3" t="n">
        <v>92</v>
      </c>
      <c r="H52" s="3" t="n">
        <v>81</v>
      </c>
      <c r="I52" s="5" t="n">
        <v>16590</v>
      </c>
      <c r="J52" s="5" t="n">
        <v>3815</v>
      </c>
      <c r="K52" s="3" t="n">
        <v>421</v>
      </c>
      <c r="L52" s="6">
        <f>ROUND((I52*(1+'الافتراضات'!$B$9)+J52)*'الافتراضات'!$B$4,0)</f>
        <v/>
      </c>
      <c r="M52" s="3" t="n">
        <v>40.5</v>
      </c>
      <c r="N52" s="5" t="n">
        <v>7790</v>
      </c>
      <c r="O52" s="5" t="n">
        <v>1203</v>
      </c>
      <c r="P52" s="5" t="n">
        <v>15600</v>
      </c>
      <c r="Q52" s="3" t="n">
        <v>108</v>
      </c>
      <c r="R52" s="3" t="n">
        <v>149</v>
      </c>
      <c r="S52" s="3" t="n">
        <v>250</v>
      </c>
      <c r="T52" s="6">
        <f>ROUND(N52*(1+'الافتراضات'!$B$9)*'الافتراضات'!$B$4+O52*'الافتراضات'!$B$4+P52+Q52*'الافتراضات'!$B$10,0)</f>
        <v/>
      </c>
      <c r="U52" s="3" t="n">
        <v>81</v>
      </c>
      <c r="V52" s="3" t="n">
        <v>0</v>
      </c>
      <c r="W52" s="5" t="n">
        <v>12120</v>
      </c>
      <c r="X52" s="5" t="n">
        <v>1736</v>
      </c>
      <c r="Y52" s="5" t="n">
        <v>15600</v>
      </c>
      <c r="Z52" s="3" t="n">
        <v>108</v>
      </c>
      <c r="AA52" s="3" t="n">
        <v>156</v>
      </c>
      <c r="AB52" s="3" t="n">
        <v>477</v>
      </c>
      <c r="AC52" s="6">
        <f>ROUND(W52*(1+'الافتراضات'!$B$9)*'الافتراضات'!$B$4+X52*'الافتراضات'!$B$4+Y52+Z52*'الافتراضات'!$B$10,0)</f>
        <v/>
      </c>
      <c r="AD52" s="7">
        <f>1-T52/L52</f>
        <v/>
      </c>
      <c r="AE52" s="7">
        <f>AB52/K52-1</f>
        <v/>
      </c>
      <c r="AF52" s="6">
        <f>ROUND('الافتراضات'!$B$14*F52/100*IF(G52=80,'الافتراضات'!$B$5,IF(G52=95,'الافتراضات'!$B$7,'الافتراضات'!$B$6))-'الافتراضات'!$B$14*AA52/1000/'الافتراضات'!$B$13*'الافتراضات'!$B$8+'الافتراضات'!$B$14*'الافتراضات'!$B$12,0)</f>
        <v/>
      </c>
      <c r="AG52">
        <f>ROUND(MAX(0,AC52-'الافتراضات'!$B$11)/AF52,1)</f>
        <v/>
      </c>
      <c r="AH52" s="6">
        <f>ROUND('الافتراضات'!$B$15*F52/100*IF(G52=80,'الافتراضات'!$B$5,IF(G52=95,'الافتراضات'!$B$7,'الافتراضات'!$B$6))-'الافتراضات'!$B$15*AA52/1000/'الافتراضات'!$B$13*'الافتراضات'!$B$8+'الافتراضات'!$B$15*'الافتراضات'!$B$12,0)</f>
        <v/>
      </c>
      <c r="AI52">
        <f>ROUND(MAX(0,AC52-'الافتراضات'!$B$11)/AH52,1)</f>
        <v/>
      </c>
      <c r="AJ52" t="inlineStr">
        <is>
          <t>BQ-D60 · PMSM 32/60 kW</t>
        </is>
      </c>
      <c r="AK52" t="n">
        <v>13.4</v>
      </c>
    </row>
    <row r="53">
      <c r="A53" s="3" t="inlineStr">
        <is>
          <t>سوزوكي سويفت</t>
        </is>
      </c>
      <c r="B53" s="3" t="inlineStr">
        <is>
          <t>2005–2026</t>
        </is>
      </c>
      <c r="C53" s="3" t="inlineStr">
        <is>
          <t>هاتشباك وسيدان صغيرة (فئة B)</t>
        </is>
      </c>
      <c r="D53" s="3" t="inlineStr">
        <is>
          <t>يدوي</t>
        </is>
      </c>
      <c r="E53" s="3" t="n">
        <v>960</v>
      </c>
      <c r="F53" s="3" t="n">
        <v>6.5</v>
      </c>
      <c r="G53" s="3" t="n">
        <v>92</v>
      </c>
      <c r="H53" s="3" t="n">
        <v>40.5</v>
      </c>
      <c r="I53" s="5" t="n">
        <v>11189</v>
      </c>
      <c r="J53" s="5" t="n">
        <v>3640</v>
      </c>
      <c r="K53" s="3" t="n">
        <v>237</v>
      </c>
      <c r="L53" s="6">
        <f>ROUND((I53*(1+'الافتراضات'!$B$9)+J53)*'الافتراضات'!$B$4,0)</f>
        <v/>
      </c>
      <c r="M53" s="3" t="n">
        <v>40.5</v>
      </c>
      <c r="N53" s="5" t="n">
        <v>7790</v>
      </c>
      <c r="O53" s="5" t="n">
        <v>1196</v>
      </c>
      <c r="P53" s="5" t="n">
        <v>15600</v>
      </c>
      <c r="Q53" s="3" t="n">
        <v>103</v>
      </c>
      <c r="R53" s="3" t="n">
        <v>139</v>
      </c>
      <c r="S53" s="3" t="n">
        <v>267</v>
      </c>
      <c r="T53" s="6">
        <f>ROUND(N53*(1+'الافتراضات'!$B$9)*'الافتراضات'!$B$4+O53*'الافتراضات'!$B$4+P53+Q53*'الافتراضات'!$B$10,0)</f>
        <v/>
      </c>
      <c r="U53" s="3" t="n">
        <v>40.5</v>
      </c>
      <c r="V53" s="3" t="n">
        <v>14.3</v>
      </c>
      <c r="W53" s="5" t="n">
        <v>10458</v>
      </c>
      <c r="X53" s="5" t="n">
        <v>1376</v>
      </c>
      <c r="Y53" s="5" t="n">
        <v>15600</v>
      </c>
      <c r="Z53" s="3" t="n">
        <v>107</v>
      </c>
      <c r="AA53" s="3" t="n">
        <v>143</v>
      </c>
      <c r="AB53" s="3" t="n">
        <v>343</v>
      </c>
      <c r="AC53" s="6">
        <f>ROUND(W53*(1+'الافتراضات'!$B$9)*'الافتراضات'!$B$4+X53*'الافتراضات'!$B$4+Y53+Z53*'الافتراضات'!$B$10,0)</f>
        <v/>
      </c>
      <c r="AD53" s="7">
        <f>1-T53/L53</f>
        <v/>
      </c>
      <c r="AE53" s="7">
        <f>AB53/K53-1</f>
        <v/>
      </c>
      <c r="AF53" s="6">
        <f>ROUND('الافتراضات'!$B$14*F53/100*IF(G53=80,'الافتراضات'!$B$5,IF(G53=95,'الافتراضات'!$B$7,'الافتراضات'!$B$6))-'الافتراضات'!$B$14*AA53/1000/'الافتراضات'!$B$13*'الافتراضات'!$B$8+'الافتراضات'!$B$14*'الافتراضات'!$B$12,0)</f>
        <v/>
      </c>
      <c r="AG53">
        <f>ROUND(MAX(0,AC53-'الافتراضات'!$B$11)/AF53,1)</f>
        <v/>
      </c>
      <c r="AH53" s="6">
        <f>ROUND('الافتراضات'!$B$15*F53/100*IF(G53=80,'الافتراضات'!$B$5,IF(G53=95,'الافتراضات'!$B$7,'الافتراضات'!$B$6))-'الافتراضات'!$B$15*AA53/1000/'الافتراضات'!$B$13*'الافتراضات'!$B$8+'الافتراضات'!$B$15*'الافتراضات'!$B$12,0)</f>
        <v/>
      </c>
      <c r="AI53">
        <f>ROUND(MAX(0,AC53-'الافتراضات'!$B$11)/AH53,1)</f>
        <v/>
      </c>
      <c r="AJ53" t="inlineStr">
        <is>
          <t>BQ-D60 · PMSM 32/60 kW</t>
        </is>
      </c>
      <c r="AK53" t="n">
        <v>11.5</v>
      </c>
    </row>
    <row r="54">
      <c r="A54" s="3" t="inlineStr">
        <is>
          <t>سوزوكي ديزاير</t>
        </is>
      </c>
      <c r="B54" s="3" t="inlineStr">
        <is>
          <t>2017–2026</t>
        </is>
      </c>
      <c r="C54" s="3" t="inlineStr">
        <is>
          <t>هاتشباك وسيدان صغيرة (فئة B)</t>
        </is>
      </c>
      <c r="D54" s="3" t="inlineStr">
        <is>
          <t>يدوي</t>
        </is>
      </c>
      <c r="E54" s="3" t="n">
        <v>900</v>
      </c>
      <c r="F54" s="3" t="n">
        <v>6</v>
      </c>
      <c r="G54" s="3" t="n">
        <v>92</v>
      </c>
      <c r="H54" s="3" t="n">
        <v>40.5</v>
      </c>
      <c r="I54" s="5" t="n">
        <v>11189</v>
      </c>
      <c r="J54" s="5" t="n">
        <v>3640</v>
      </c>
      <c r="K54" s="3" t="n">
        <v>241</v>
      </c>
      <c r="L54" s="6">
        <f>ROUND((I54*(1+'الافتراضات'!$B$9)+J54)*'الافتراضات'!$B$4,0)</f>
        <v/>
      </c>
      <c r="M54" s="3" t="n">
        <v>40.5</v>
      </c>
      <c r="N54" s="5" t="n">
        <v>7790</v>
      </c>
      <c r="O54" s="5" t="n">
        <v>1196</v>
      </c>
      <c r="P54" s="5" t="n">
        <v>15600</v>
      </c>
      <c r="Q54" s="3" t="n">
        <v>103</v>
      </c>
      <c r="R54" s="3" t="n">
        <v>137</v>
      </c>
      <c r="S54" s="3" t="n">
        <v>272</v>
      </c>
      <c r="T54" s="6">
        <f>ROUND(N54*(1+'الافتراضات'!$B$9)*'الافتراضات'!$B$4+O54*'الافتراضات'!$B$4+P54+Q54*'الافتراضات'!$B$10,0)</f>
        <v/>
      </c>
      <c r="U54" s="3" t="n">
        <v>40.5</v>
      </c>
      <c r="V54" s="3" t="n">
        <v>14.3</v>
      </c>
      <c r="W54" s="5" t="n">
        <v>10458</v>
      </c>
      <c r="X54" s="5" t="n">
        <v>1376</v>
      </c>
      <c r="Y54" s="5" t="n">
        <v>15600</v>
      </c>
      <c r="Z54" s="3" t="n">
        <v>107</v>
      </c>
      <c r="AA54" s="3" t="n">
        <v>141</v>
      </c>
      <c r="AB54" s="3" t="n">
        <v>348</v>
      </c>
      <c r="AC54" s="6">
        <f>ROUND(W54*(1+'الافتراضات'!$B$9)*'الافتراضات'!$B$4+X54*'الافتراضات'!$B$4+Y54+Z54*'الافتراضات'!$B$10,0)</f>
        <v/>
      </c>
      <c r="AD54" s="7">
        <f>1-T54/L54</f>
        <v/>
      </c>
      <c r="AE54" s="7">
        <f>AB54/K54-1</f>
        <v/>
      </c>
      <c r="AF54" s="6">
        <f>ROUND('الافتراضات'!$B$14*F54/100*IF(G54=80,'الافتراضات'!$B$5,IF(G54=95,'الافتراضات'!$B$7,'الافتراضات'!$B$6))-'الافتراضات'!$B$14*AA54/1000/'الافتراضات'!$B$13*'الافتراضات'!$B$8+'الافتراضات'!$B$14*'الافتراضات'!$B$12,0)</f>
        <v/>
      </c>
      <c r="AG54">
        <f>ROUND(MAX(0,AC54-'الافتراضات'!$B$11)/AF54,1)</f>
        <v/>
      </c>
      <c r="AH54" s="6">
        <f>ROUND('الافتراضات'!$B$15*F54/100*IF(G54=80,'الافتراضات'!$B$5,IF(G54=95,'الافتراضات'!$B$7,'الافتراضات'!$B$6))-'الافتراضات'!$B$15*AA54/1000/'الافتراضات'!$B$13*'الافتراضات'!$B$8+'الافتراضات'!$B$15*'الافتراضات'!$B$12,0)</f>
        <v/>
      </c>
      <c r="AI54">
        <f>ROUND(MAX(0,AC54-'الافتراضات'!$B$11)/AH54,1)</f>
        <v/>
      </c>
      <c r="AJ54" t="inlineStr">
        <is>
          <t>BQ-D60 · PMSM 32/60 kW</t>
        </is>
      </c>
      <c r="AK54" t="n">
        <v>10.9</v>
      </c>
    </row>
    <row r="55">
      <c r="A55" s="3" t="inlineStr">
        <is>
          <t>سوزوكي ألتو</t>
        </is>
      </c>
      <c r="B55" s="3" t="inlineStr">
        <is>
          <t>2009–2026</t>
        </is>
      </c>
      <c r="C55" s="3" t="inlineStr">
        <is>
          <t>صغيرة (فئة A)</t>
        </is>
      </c>
      <c r="D55" s="3" t="inlineStr">
        <is>
          <t>يدوي</t>
        </is>
      </c>
      <c r="E55" s="3" t="n">
        <v>760</v>
      </c>
      <c r="F55" s="3" t="n">
        <v>5.5</v>
      </c>
      <c r="G55" s="3" t="n">
        <v>92</v>
      </c>
      <c r="H55" s="3" t="n">
        <v>40.5</v>
      </c>
      <c r="I55" s="5" t="n">
        <v>11584</v>
      </c>
      <c r="J55" s="5" t="n">
        <v>3465</v>
      </c>
      <c r="K55" s="3" t="n">
        <v>254</v>
      </c>
      <c r="L55" s="6">
        <f>ROUND((I55*(1+'الافتراضات'!$B$9)+J55)*'الافتراضات'!$B$4,0)</f>
        <v/>
      </c>
      <c r="M55" s="3" t="n">
        <v>40.5</v>
      </c>
      <c r="N55" s="5" t="n">
        <v>7790</v>
      </c>
      <c r="O55" s="5" t="n">
        <v>1648</v>
      </c>
      <c r="P55" s="5" t="n">
        <v>15600</v>
      </c>
      <c r="Q55" s="3" t="n">
        <v>98</v>
      </c>
      <c r="R55" s="3" t="n">
        <v>130</v>
      </c>
      <c r="S55" s="3" t="n">
        <v>286</v>
      </c>
      <c r="T55" s="6">
        <f>ROUND(N55*(1+'الافتراضات'!$B$9)*'الافتراضات'!$B$4+O55*'الافتراضات'!$B$4+P55+Q55*'الافتراضات'!$B$10,0)</f>
        <v/>
      </c>
      <c r="U55" s="3" t="n">
        <v>40.5</v>
      </c>
      <c r="V55" s="3" t="n">
        <v>5.12</v>
      </c>
      <c r="W55" s="5" t="n">
        <v>10352</v>
      </c>
      <c r="X55" s="5" t="n">
        <v>1738</v>
      </c>
      <c r="Y55" s="5" t="n">
        <v>15600</v>
      </c>
      <c r="Z55" s="3" t="n">
        <v>102</v>
      </c>
      <c r="AA55" s="3" t="n">
        <v>132</v>
      </c>
      <c r="AB55" s="3" t="n">
        <v>314</v>
      </c>
      <c r="AC55" s="6">
        <f>ROUND(W55*(1+'الافتراضات'!$B$9)*'الافتراضات'!$B$4+X55*'الافتراضات'!$B$4+Y55+Z55*'الافتراضات'!$B$10,0)</f>
        <v/>
      </c>
      <c r="AD55" s="7">
        <f>1-T55/L55</f>
        <v/>
      </c>
      <c r="AE55" s="7">
        <f>AB55/K55-1</f>
        <v/>
      </c>
      <c r="AF55" s="6">
        <f>ROUND('الافتراضات'!$B$14*F55/100*IF(G55=80,'الافتراضات'!$B$5,IF(G55=95,'الافتراضات'!$B$7,'الافتراضات'!$B$6))-'الافتراضات'!$B$14*AA55/1000/'الافتراضات'!$B$13*'الافتراضات'!$B$8+'الافتراضات'!$B$14*'الافتراضات'!$B$12,0)</f>
        <v/>
      </c>
      <c r="AG55">
        <f>ROUND(MAX(0,AC55-'الافتراضات'!$B$11)/AF55,1)</f>
        <v/>
      </c>
      <c r="AH55" s="6">
        <f>ROUND('الافتراضات'!$B$15*F55/100*IF(G55=80,'الافتراضات'!$B$5,IF(G55=95,'الافتراضات'!$B$7,'الافتراضات'!$B$6))-'الافتراضات'!$B$15*AA55/1000/'الافتراضات'!$B$13*'الافتراضات'!$B$8+'الافتراضات'!$B$15*'الافتراضات'!$B$12,0)</f>
        <v/>
      </c>
      <c r="AI55">
        <f>ROUND(MAX(0,AC55-'الافتراضات'!$B$11)/AH55,1)</f>
        <v/>
      </c>
      <c r="AJ55" t="inlineStr">
        <is>
          <t>BQ-D60 · PMSM 32/60 kW</t>
        </is>
      </c>
      <c r="AK55" t="n">
        <v>9.699999999999999</v>
      </c>
    </row>
    <row r="56">
      <c r="A56" s="3" t="inlineStr">
        <is>
          <t>سوزوكي فان (إيفري)</t>
        </is>
      </c>
      <c r="B56" s="3" t="inlineStr">
        <is>
          <t>1990–2026</t>
        </is>
      </c>
      <c r="C56" s="3" t="inlineStr">
        <is>
          <t>سيارة كي صغيرة جداً</t>
        </is>
      </c>
      <c r="D56" s="3" t="inlineStr">
        <is>
          <t>يدوي</t>
        </is>
      </c>
      <c r="E56" s="3" t="n">
        <v>920</v>
      </c>
      <c r="F56" s="3" t="n">
        <v>8.5</v>
      </c>
      <c r="G56" s="3" t="n">
        <v>92</v>
      </c>
      <c r="H56" s="3" t="n">
        <v>40.5</v>
      </c>
      <c r="I56" s="5" t="n">
        <v>12088</v>
      </c>
      <c r="J56" s="5" t="n">
        <v>3500</v>
      </c>
      <c r="K56" s="3" t="n">
        <v>213</v>
      </c>
      <c r="L56" s="6">
        <f>ROUND((I56*(1+'الافتراضات'!$B$9)+J56)*'الافتراضات'!$B$4,0)</f>
        <v/>
      </c>
      <c r="M56" s="3" t="n">
        <v>40.5</v>
      </c>
      <c r="N56" s="5" t="n">
        <v>7790</v>
      </c>
      <c r="O56" s="5" t="n">
        <v>1648</v>
      </c>
      <c r="P56" s="5" t="n">
        <v>15600</v>
      </c>
      <c r="Q56" s="3" t="n">
        <v>93</v>
      </c>
      <c r="R56" s="3" t="n">
        <v>156</v>
      </c>
      <c r="S56" s="3" t="n">
        <v>239</v>
      </c>
      <c r="T56" s="6">
        <f>ROUND(N56*(1+'الافتراضات'!$B$9)*'الافتراضات'!$B$4+O56*'الافتراضات'!$B$4+P56+Q56*'الافتراضات'!$B$10,0)</f>
        <v/>
      </c>
      <c r="U56" s="3" t="n">
        <v>40.5</v>
      </c>
      <c r="V56" s="3" t="n">
        <v>0</v>
      </c>
      <c r="W56" s="5" t="n">
        <v>7790</v>
      </c>
      <c r="X56" s="5" t="n">
        <v>1780</v>
      </c>
      <c r="Y56" s="5" t="n">
        <v>15600</v>
      </c>
      <c r="Z56" s="3" t="n">
        <v>99</v>
      </c>
      <c r="AA56" s="3" t="n">
        <v>156</v>
      </c>
      <c r="AB56" s="3" t="n">
        <v>238</v>
      </c>
      <c r="AC56" s="6">
        <f>ROUND(W56*(1+'الافتراضات'!$B$9)*'الافتراضات'!$B$4+X56*'الافتراضات'!$B$4+Y56+Z56*'الافتراضات'!$B$10,0)</f>
        <v/>
      </c>
      <c r="AD56" s="7">
        <f>1-T56/L56</f>
        <v/>
      </c>
      <c r="AE56" s="7">
        <f>AB56/K56-1</f>
        <v/>
      </c>
      <c r="AF56" s="6">
        <f>ROUND('الافتراضات'!$B$14*F56/100*IF(G56=80,'الافتراضات'!$B$5,IF(G56=95,'الافتراضات'!$B$7,'الافتراضات'!$B$6))-'الافتراضات'!$B$14*AA56/1000/'الافتراضات'!$B$13*'الافتراضات'!$B$8+'الافتراضات'!$B$14*'الافتراضات'!$B$12,0)</f>
        <v/>
      </c>
      <c r="AG56">
        <f>ROUND(MAX(0,AC56-'الافتراضات'!$B$11)/AF56,1)</f>
        <v/>
      </c>
      <c r="AH56" s="6">
        <f>ROUND('الافتراضات'!$B$15*F56/100*IF(G56=80,'الافتراضات'!$B$5,IF(G56=95,'الافتراضات'!$B$7,'الافتراضات'!$B$6))-'الافتراضات'!$B$15*AA56/1000/'الافتراضات'!$B$13*'الافتراضات'!$B$8+'الافتراضات'!$B$15*'الافتراضات'!$B$12,0)</f>
        <v/>
      </c>
      <c r="AI56">
        <f>ROUND(MAX(0,AC56-'الافتراضات'!$B$11)/AH56,1)</f>
        <v/>
      </c>
      <c r="AJ56" t="inlineStr">
        <is>
          <t>BQ-D60 · PMSM 32/60 kW</t>
        </is>
      </c>
      <c r="AK56" t="n">
        <v>11.6</v>
      </c>
    </row>
    <row r="57">
      <c r="A57" s="3" t="inlineStr">
        <is>
          <t>سكودا أوكتافيا</t>
        </is>
      </c>
      <c r="B57" s="3" t="inlineStr">
        <is>
          <t>2004–2020</t>
        </is>
      </c>
      <c r="C57" s="3" t="inlineStr">
        <is>
          <t>سيدان وهاتشباك متوسطة صغيرة (فئة C)</t>
        </is>
      </c>
      <c r="D57" s="3" t="inlineStr">
        <is>
          <t>أوتوماتيك</t>
        </is>
      </c>
      <c r="E57" s="3" t="n">
        <v>1250</v>
      </c>
      <c r="F57" s="3" t="n">
        <v>8.5</v>
      </c>
      <c r="G57" s="3" t="n">
        <v>92</v>
      </c>
      <c r="H57" s="3" t="n">
        <v>81</v>
      </c>
      <c r="I57" s="5" t="n">
        <v>16590</v>
      </c>
      <c r="J57" s="5" t="n">
        <v>3815</v>
      </c>
      <c r="K57" s="3" t="n">
        <v>413</v>
      </c>
      <c r="L57" s="6">
        <f>ROUND((I57*(1+'الافتراضات'!$B$9)+J57)*'الافتراضات'!$B$4,0)</f>
        <v/>
      </c>
      <c r="M57" s="3" t="n">
        <v>40.5</v>
      </c>
      <c r="N57" s="5" t="n">
        <v>10390</v>
      </c>
      <c r="O57" s="5" t="n">
        <v>1041</v>
      </c>
      <c r="P57" s="5" t="n">
        <v>15600</v>
      </c>
      <c r="Q57" s="3" t="n">
        <v>112</v>
      </c>
      <c r="R57" s="3" t="n">
        <v>151</v>
      </c>
      <c r="S57" s="3" t="n">
        <v>246</v>
      </c>
      <c r="T57" s="6">
        <f>ROUND(N57*(1+'الافتراضات'!$B$9)*'الافتراضات'!$B$4+O57*'الافتراضات'!$B$4+P57+Q57*'الافتراضات'!$B$10,0)</f>
        <v/>
      </c>
      <c r="U57" s="3" t="n">
        <v>81</v>
      </c>
      <c r="V57" s="3" t="n">
        <v>5.12</v>
      </c>
      <c r="W57" s="5" t="n">
        <v>15582</v>
      </c>
      <c r="X57" s="5" t="n">
        <v>1664</v>
      </c>
      <c r="Y57" s="5" t="n">
        <v>15600</v>
      </c>
      <c r="Z57" s="3" t="n">
        <v>116</v>
      </c>
      <c r="AA57" s="3" t="n">
        <v>160</v>
      </c>
      <c r="AB57" s="3" t="n">
        <v>493</v>
      </c>
      <c r="AC57" s="6">
        <f>ROUND(W57*(1+'الافتراضات'!$B$9)*'الافتراضات'!$B$4+X57*'الافتراضات'!$B$4+Y57+Z57*'الافتراضات'!$B$10,0)</f>
        <v/>
      </c>
      <c r="AD57" s="7">
        <f>1-T57/L57</f>
        <v/>
      </c>
      <c r="AE57" s="7">
        <f>AB57/K57-1</f>
        <v/>
      </c>
      <c r="AF57" s="6">
        <f>ROUND('الافتراضات'!$B$14*F57/100*IF(G57=80,'الافتراضات'!$B$5,IF(G57=95,'الافتراضات'!$B$7,'الافتراضات'!$B$6))-'الافتراضات'!$B$14*AA57/1000/'الافتراضات'!$B$13*'الافتراضات'!$B$8+'الافتراضات'!$B$14*'الافتراضات'!$B$12,0)</f>
        <v/>
      </c>
      <c r="AG57">
        <f>ROUND(MAX(0,AC57-'الافتراضات'!$B$11)/AF57,1)</f>
        <v/>
      </c>
      <c r="AH57" s="6">
        <f>ROUND('الافتراضات'!$B$15*F57/100*IF(G57=80,'الافتراضات'!$B$5,IF(G57=95,'الافتراضات'!$B$7,'الافتراضات'!$B$6))-'الافتراضات'!$B$15*AA57/1000/'الافتراضات'!$B$13*'الافتراضات'!$B$8+'الافتراضات'!$B$15*'الافتراضات'!$B$12,0)</f>
        <v/>
      </c>
      <c r="AI57">
        <f>ROUND(MAX(0,AC57-'الافتراضات'!$B$11)/AH57,1)</f>
        <v/>
      </c>
      <c r="AJ57" t="inlineStr">
        <is>
          <t>BQ-D100 · PMSM 50/100 kW</t>
        </is>
      </c>
      <c r="AK57" t="n">
        <v>8.5</v>
      </c>
    </row>
    <row r="58">
      <c r="A58" s="3" t="inlineStr">
        <is>
          <t>أوبل أسترا</t>
        </is>
      </c>
      <c r="B58" s="3" t="inlineStr">
        <is>
          <t>2004–2015</t>
        </is>
      </c>
      <c r="C58" s="3" t="inlineStr">
        <is>
          <t>سيدان وهاتشباك متوسطة صغيرة (فئة C)</t>
        </is>
      </c>
      <c r="D58" s="3" t="inlineStr">
        <is>
          <t>أوتوماتيك</t>
        </is>
      </c>
      <c r="E58" s="3" t="n">
        <v>1300</v>
      </c>
      <c r="F58" s="3" t="n">
        <v>9</v>
      </c>
      <c r="G58" s="3" t="n">
        <v>92</v>
      </c>
      <c r="H58" s="3" t="n">
        <v>81</v>
      </c>
      <c r="I58" s="5" t="n">
        <v>16590</v>
      </c>
      <c r="J58" s="5" t="n">
        <v>3815</v>
      </c>
      <c r="K58" s="3" t="n">
        <v>408</v>
      </c>
      <c r="L58" s="6">
        <f>ROUND((I58*(1+'الافتراضات'!$B$9)+J58)*'الافتراضات'!$B$4,0)</f>
        <v/>
      </c>
      <c r="M58" s="3" t="n">
        <v>40.5</v>
      </c>
      <c r="N58" s="5" t="n">
        <v>10390</v>
      </c>
      <c r="O58" s="5" t="n">
        <v>1041</v>
      </c>
      <c r="P58" s="5" t="n">
        <v>15600</v>
      </c>
      <c r="Q58" s="3" t="n">
        <v>112</v>
      </c>
      <c r="R58" s="3" t="n">
        <v>153</v>
      </c>
      <c r="S58" s="3" t="n">
        <v>243</v>
      </c>
      <c r="T58" s="6">
        <f>ROUND(N58*(1+'الافتراضات'!$B$9)*'الافتراضات'!$B$4+O58*'الافتراضات'!$B$4+P58+Q58*'الافتراضات'!$B$10,0)</f>
        <v/>
      </c>
      <c r="U58" s="3" t="n">
        <v>81</v>
      </c>
      <c r="V58" s="3" t="n">
        <v>5.12</v>
      </c>
      <c r="W58" s="5" t="n">
        <v>15582</v>
      </c>
      <c r="X58" s="5" t="n">
        <v>1664</v>
      </c>
      <c r="Y58" s="5" t="n">
        <v>15600</v>
      </c>
      <c r="Z58" s="3" t="n">
        <v>116</v>
      </c>
      <c r="AA58" s="3" t="n">
        <v>162</v>
      </c>
      <c r="AB58" s="3" t="n">
        <v>487</v>
      </c>
      <c r="AC58" s="6">
        <f>ROUND(W58*(1+'الافتراضات'!$B$9)*'الافتراضات'!$B$4+X58*'الافتراضات'!$B$4+Y58+Z58*'الافتراضات'!$B$10,0)</f>
        <v/>
      </c>
      <c r="AD58" s="7">
        <f>1-T58/L58</f>
        <v/>
      </c>
      <c r="AE58" s="7">
        <f>AB58/K58-1</f>
        <v/>
      </c>
      <c r="AF58" s="6">
        <f>ROUND('الافتراضات'!$B$14*F58/100*IF(G58=80,'الافتراضات'!$B$5,IF(G58=95,'الافتراضات'!$B$7,'الافتراضات'!$B$6))-'الافتراضات'!$B$14*AA58/1000/'الافتراضات'!$B$13*'الافتراضات'!$B$8+'الافتراضات'!$B$14*'الافتراضات'!$B$12,0)</f>
        <v/>
      </c>
      <c r="AG58">
        <f>ROUND(MAX(0,AC58-'الافتراضات'!$B$11)/AF58,1)</f>
        <v/>
      </c>
      <c r="AH58" s="6">
        <f>ROUND('الافتراضات'!$B$15*F58/100*IF(G58=80,'الافتراضات'!$B$5,IF(G58=95,'الافتراضات'!$B$7,'الافتراضات'!$B$6))-'الافتراضات'!$B$15*AA58/1000/'الافتراضات'!$B$13*'الافتراضات'!$B$8+'الافتراضات'!$B$15*'الافتراضات'!$B$12,0)</f>
        <v/>
      </c>
      <c r="AI58">
        <f>ROUND(MAX(0,AC58-'الافتراضات'!$B$11)/AH58,1)</f>
        <v/>
      </c>
      <c r="AJ58" t="inlineStr">
        <is>
          <t>BQ-D100 · PMSM 50/100 kW</t>
        </is>
      </c>
      <c r="AK58" t="n">
        <v>8.800000000000001</v>
      </c>
    </row>
    <row r="59">
      <c r="A59" s="3" t="inlineStr">
        <is>
          <t>هوندا سيفيك</t>
        </is>
      </c>
      <c r="B59" s="3" t="inlineStr">
        <is>
          <t>2006–2015</t>
        </is>
      </c>
      <c r="C59" s="3" t="inlineStr">
        <is>
          <t>سيدان وهاتشباك متوسطة صغيرة (فئة C)</t>
        </is>
      </c>
      <c r="D59" s="3" t="inlineStr">
        <is>
          <t>أوتوماتيك</t>
        </is>
      </c>
      <c r="E59" s="3" t="n">
        <v>1250</v>
      </c>
      <c r="F59" s="3" t="n">
        <v>8.5</v>
      </c>
      <c r="G59" s="3" t="n">
        <v>92</v>
      </c>
      <c r="H59" s="3" t="n">
        <v>81</v>
      </c>
      <c r="I59" s="5" t="n">
        <v>16590</v>
      </c>
      <c r="J59" s="5" t="n">
        <v>3815</v>
      </c>
      <c r="K59" s="3" t="n">
        <v>413</v>
      </c>
      <c r="L59" s="6">
        <f>ROUND((I59*(1+'الافتراضات'!$B$9)+J59)*'الافتراضات'!$B$4,0)</f>
        <v/>
      </c>
      <c r="M59" s="3" t="n">
        <v>40.5</v>
      </c>
      <c r="N59" s="5" t="n">
        <v>10390</v>
      </c>
      <c r="O59" s="5" t="n">
        <v>1041</v>
      </c>
      <c r="P59" s="5" t="n">
        <v>15600</v>
      </c>
      <c r="Q59" s="3" t="n">
        <v>112</v>
      </c>
      <c r="R59" s="3" t="n">
        <v>151</v>
      </c>
      <c r="S59" s="3" t="n">
        <v>246</v>
      </c>
      <c r="T59" s="6">
        <f>ROUND(N59*(1+'الافتراضات'!$B$9)*'الافتراضات'!$B$4+O59*'الافتراضات'!$B$4+P59+Q59*'الافتراضات'!$B$10,0)</f>
        <v/>
      </c>
      <c r="U59" s="3" t="n">
        <v>81</v>
      </c>
      <c r="V59" s="3" t="n">
        <v>5.12</v>
      </c>
      <c r="W59" s="5" t="n">
        <v>15582</v>
      </c>
      <c r="X59" s="5" t="n">
        <v>1664</v>
      </c>
      <c r="Y59" s="5" t="n">
        <v>15600</v>
      </c>
      <c r="Z59" s="3" t="n">
        <v>116</v>
      </c>
      <c r="AA59" s="3" t="n">
        <v>160</v>
      </c>
      <c r="AB59" s="3" t="n">
        <v>493</v>
      </c>
      <c r="AC59" s="6">
        <f>ROUND(W59*(1+'الافتراضات'!$B$9)*'الافتراضات'!$B$4+X59*'الافتراضات'!$B$4+Y59+Z59*'الافتراضات'!$B$10,0)</f>
        <v/>
      </c>
      <c r="AD59" s="7">
        <f>1-T59/L59</f>
        <v/>
      </c>
      <c r="AE59" s="7">
        <f>AB59/K59-1</f>
        <v/>
      </c>
      <c r="AF59" s="6">
        <f>ROUND('الافتراضات'!$B$14*F59/100*IF(G59=80,'الافتراضات'!$B$5,IF(G59=95,'الافتراضات'!$B$7,'الافتراضات'!$B$6))-'الافتراضات'!$B$14*AA59/1000/'الافتراضات'!$B$13*'الافتراضات'!$B$8+'الافتراضات'!$B$14*'الافتراضات'!$B$12,0)</f>
        <v/>
      </c>
      <c r="AG59">
        <f>ROUND(MAX(0,AC59-'الافتراضات'!$B$11)/AF59,1)</f>
        <v/>
      </c>
      <c r="AH59" s="6">
        <f>ROUND('الافتراضات'!$B$15*F59/100*IF(G59=80,'الافتراضات'!$B$5,IF(G59=95,'الافتراضات'!$B$7,'الافتراضات'!$B$6))-'الافتراضات'!$B$15*AA59/1000/'الافتراضات'!$B$13*'الافتراضات'!$B$8+'الافتراضات'!$B$15*'الافتراضات'!$B$12,0)</f>
        <v/>
      </c>
      <c r="AI59">
        <f>ROUND(MAX(0,AC59-'الافتراضات'!$B$11)/AH59,1)</f>
        <v/>
      </c>
      <c r="AJ59" t="inlineStr">
        <is>
          <t>BQ-D100 · PMSM 50/100 kW</t>
        </is>
      </c>
      <c r="AK59" t="n">
        <v>8.5</v>
      </c>
    </row>
    <row r="60">
      <c r="A60" s="3" t="inlineStr">
        <is>
          <t>مرسيدس W124</t>
        </is>
      </c>
      <c r="B60" s="3" t="inlineStr">
        <is>
          <t>1984–1997</t>
        </is>
      </c>
      <c r="C60" s="3" t="inlineStr">
        <is>
          <t>سيدان تنفيذية (فئة E)</t>
        </is>
      </c>
      <c r="D60" s="3" t="inlineStr">
        <is>
          <t>أوتوماتيك</t>
        </is>
      </c>
      <c r="E60" s="3" t="n">
        <v>1400</v>
      </c>
      <c r="F60" s="3" t="n">
        <v>11</v>
      </c>
      <c r="G60" s="3" t="n">
        <v>92</v>
      </c>
      <c r="H60" s="3" t="n">
        <v>81</v>
      </c>
      <c r="I60" s="5" t="n">
        <v>15767</v>
      </c>
      <c r="J60" s="5" t="n">
        <v>3850</v>
      </c>
      <c r="K60" s="3" t="n">
        <v>395</v>
      </c>
      <c r="L60" s="6">
        <f>ROUND((I60*(1+'الافتراضات'!$B$9)+J60)*'الافتراضات'!$B$4,0)</f>
        <v/>
      </c>
      <c r="M60" s="3" t="n">
        <v>40.5</v>
      </c>
      <c r="N60" s="5" t="n">
        <v>9945</v>
      </c>
      <c r="O60" s="5" t="n">
        <v>1055</v>
      </c>
      <c r="P60" s="5" t="n">
        <v>15600</v>
      </c>
      <c r="Q60" s="3" t="n">
        <v>113</v>
      </c>
      <c r="R60" s="3" t="n">
        <v>159</v>
      </c>
      <c r="S60" s="3" t="n">
        <v>234</v>
      </c>
      <c r="T60" s="6">
        <f>ROUND(N60*(1+'الافتراضات'!$B$9)*'الافتراضات'!$B$4+O60*'الافتراضات'!$B$4+P60+Q60*'الافتراضات'!$B$10,0)</f>
        <v/>
      </c>
      <c r="U60" s="3" t="n">
        <v>81</v>
      </c>
      <c r="V60" s="3" t="n">
        <v>14.3</v>
      </c>
      <c r="W60" s="5" t="n">
        <v>15243</v>
      </c>
      <c r="X60" s="5" t="n">
        <v>1508</v>
      </c>
      <c r="Y60" s="5" t="n">
        <v>15600</v>
      </c>
      <c r="Z60" s="3" t="n">
        <v>117</v>
      </c>
      <c r="AA60" s="3" t="n">
        <v>170</v>
      </c>
      <c r="AB60" s="3" t="n">
        <v>509</v>
      </c>
      <c r="AC60" s="6">
        <f>ROUND(W60*(1+'الافتراضات'!$B$9)*'الافتراضات'!$B$4+X60*'الافتراضات'!$B$4+Y60+Z60*'الافتراضات'!$B$10,0)</f>
        <v/>
      </c>
      <c r="AD60" s="7">
        <f>1-T60/L60</f>
        <v/>
      </c>
      <c r="AE60" s="7">
        <f>AB60/K60-1</f>
        <v/>
      </c>
      <c r="AF60" s="6">
        <f>ROUND('الافتراضات'!$B$14*F60/100*IF(G60=80,'الافتراضات'!$B$5,IF(G60=95,'الافتراضات'!$B$7,'الافتراضات'!$B$6))-'الافتراضات'!$B$14*AA60/1000/'الافتراضات'!$B$13*'الافتراضات'!$B$8+'الافتراضات'!$B$14*'الافتراضات'!$B$12,0)</f>
        <v/>
      </c>
      <c r="AG60">
        <f>ROUND(MAX(0,AC60-'الافتراضات'!$B$11)/AF60,1)</f>
        <v/>
      </c>
      <c r="AH60" s="6">
        <f>ROUND('الافتراضات'!$B$15*F60/100*IF(G60=80,'الافتراضات'!$B$5,IF(G60=95,'الافتراضات'!$B$7,'الافتراضات'!$B$6))-'الافتراضات'!$B$15*AA60/1000/'الافتراضات'!$B$13*'الافتراضات'!$B$8+'الافتراضات'!$B$15*'الافتراضات'!$B$12,0)</f>
        <v/>
      </c>
      <c r="AI60">
        <f>ROUND(MAX(0,AC60-'الافتراضات'!$B$11)/AH60,1)</f>
        <v/>
      </c>
      <c r="AJ60" t="inlineStr">
        <is>
          <t>BQ-D100 · PMSM 50/100 kW</t>
        </is>
      </c>
      <c r="AK60" t="n">
        <v>9</v>
      </c>
    </row>
    <row r="61">
      <c r="A61" s="3" t="inlineStr">
        <is>
          <t>مرسيدس E-Class W210 / W211</t>
        </is>
      </c>
      <c r="B61" s="3" t="inlineStr">
        <is>
          <t>1995–2009</t>
        </is>
      </c>
      <c r="C61" s="3" t="inlineStr">
        <is>
          <t>سيدان تنفيذية (فئة E)</t>
        </is>
      </c>
      <c r="D61" s="3" t="inlineStr">
        <is>
          <t>أوتوماتيك</t>
        </is>
      </c>
      <c r="E61" s="3" t="n">
        <v>1500</v>
      </c>
      <c r="F61" s="3" t="n">
        <v>11</v>
      </c>
      <c r="G61" s="3" t="n">
        <v>95</v>
      </c>
      <c r="H61" s="3" t="n">
        <v>81</v>
      </c>
      <c r="I61" s="5" t="n">
        <v>16367</v>
      </c>
      <c r="J61" s="5" t="n">
        <v>4340</v>
      </c>
      <c r="K61" s="3" t="n">
        <v>385</v>
      </c>
      <c r="L61" s="6">
        <f>ROUND((I61*(1+'الافتراضات'!$B$9)+J61)*'الافتراضات'!$B$4,0)</f>
        <v/>
      </c>
      <c r="M61" s="3" t="n">
        <v>40.5</v>
      </c>
      <c r="N61" s="5" t="n">
        <v>10545</v>
      </c>
      <c r="O61" s="5" t="n">
        <v>1055</v>
      </c>
      <c r="P61" s="5" t="n">
        <v>15600</v>
      </c>
      <c r="Q61" s="3" t="n">
        <v>127</v>
      </c>
      <c r="R61" s="3" t="n">
        <v>163</v>
      </c>
      <c r="S61" s="3" t="n">
        <v>229</v>
      </c>
      <c r="T61" s="6">
        <f>ROUND(N61*(1+'الافتراضات'!$B$9)*'الافتراضات'!$B$4+O61*'الافتراضات'!$B$4+P61+Q61*'الافتراضات'!$B$10,0)</f>
        <v/>
      </c>
      <c r="U61" s="3" t="n">
        <v>81</v>
      </c>
      <c r="V61" s="3" t="n">
        <v>14.3</v>
      </c>
      <c r="W61" s="5" t="n">
        <v>15843</v>
      </c>
      <c r="X61" s="5" t="n">
        <v>1508</v>
      </c>
      <c r="Y61" s="5" t="n">
        <v>15600</v>
      </c>
      <c r="Z61" s="3" t="n">
        <v>131</v>
      </c>
      <c r="AA61" s="3" t="n">
        <v>173</v>
      </c>
      <c r="AB61" s="3" t="n">
        <v>498</v>
      </c>
      <c r="AC61" s="6">
        <f>ROUND(W61*(1+'الافتراضات'!$B$9)*'الافتراضات'!$B$4+X61*'الافتراضات'!$B$4+Y61+Z61*'الافتراضات'!$B$10,0)</f>
        <v/>
      </c>
      <c r="AD61" s="7">
        <f>1-T61/L61</f>
        <v/>
      </c>
      <c r="AE61" s="7">
        <f>AB61/K61-1</f>
        <v/>
      </c>
      <c r="AF61" s="6">
        <f>ROUND('الافتراضات'!$B$14*F61/100*IF(G61=80,'الافتراضات'!$B$5,IF(G61=95,'الافتراضات'!$B$7,'الافتراضات'!$B$6))-'الافتراضات'!$B$14*AA61/1000/'الافتراضات'!$B$13*'الافتراضات'!$B$8+'الافتراضات'!$B$14*'الافتراضات'!$B$12,0)</f>
        <v/>
      </c>
      <c r="AG61">
        <f>ROUND(MAX(0,AC61-'الافتراضات'!$B$11)/AF61,1)</f>
        <v/>
      </c>
      <c r="AH61" s="6">
        <f>ROUND('الافتراضات'!$B$15*F61/100*IF(G61=80,'الافتراضات'!$B$5,IF(G61=95,'الافتراضات'!$B$7,'الافتراضات'!$B$6))-'الافتراضات'!$B$15*AA61/1000/'الافتراضات'!$B$13*'الافتراضات'!$B$8+'الافتراضات'!$B$15*'الافتراضات'!$B$12,0)</f>
        <v/>
      </c>
      <c r="AI61">
        <f>ROUND(MAX(0,AC61-'الافتراضات'!$B$11)/AH61,1)</f>
        <v/>
      </c>
      <c r="AJ61" t="inlineStr">
        <is>
          <t>BQ-D100 · PMSM 50/100 kW</t>
        </is>
      </c>
      <c r="AK61" t="n">
        <v>9.6</v>
      </c>
    </row>
    <row r="62">
      <c r="A62" s="3" t="inlineStr">
        <is>
          <t>بي إم دبليو الفئة الثالثة E46</t>
        </is>
      </c>
      <c r="B62" s="3" t="inlineStr">
        <is>
          <t>1998–2006</t>
        </is>
      </c>
      <c r="C62" s="3" t="inlineStr">
        <is>
          <t>سيدان متوسطة (فئة D)</t>
        </is>
      </c>
      <c r="D62" s="3" t="inlineStr">
        <is>
          <t>أوتوماتيك</t>
        </is>
      </c>
      <c r="E62" s="3" t="n">
        <v>1350</v>
      </c>
      <c r="F62" s="3" t="n">
        <v>10</v>
      </c>
      <c r="G62" s="3" t="n">
        <v>95</v>
      </c>
      <c r="H62" s="3" t="n">
        <v>81</v>
      </c>
      <c r="I62" s="5" t="n">
        <v>16156</v>
      </c>
      <c r="J62" s="5" t="n">
        <v>3500</v>
      </c>
      <c r="K62" s="3" t="n">
        <v>401</v>
      </c>
      <c r="L62" s="6">
        <f>ROUND((I62*(1+'الافتراضات'!$B$9)+J62)*'الافتراضات'!$B$4,0)</f>
        <v/>
      </c>
      <c r="M62" s="3" t="n">
        <v>40.5</v>
      </c>
      <c r="N62" s="5" t="n">
        <v>9945</v>
      </c>
      <c r="O62" s="5" t="n">
        <v>1048</v>
      </c>
      <c r="P62" s="5" t="n">
        <v>15600</v>
      </c>
      <c r="Q62" s="3" t="n">
        <v>103</v>
      </c>
      <c r="R62" s="3" t="n">
        <v>156</v>
      </c>
      <c r="S62" s="3" t="n">
        <v>239</v>
      </c>
      <c r="T62" s="6">
        <f>ROUND(N62*(1+'الافتراضات'!$B$9)*'الافتراضات'!$B$4+O62*'الافتراضات'!$B$4+P62+Q62*'الافتراضات'!$B$10,0)</f>
        <v/>
      </c>
      <c r="U62" s="3" t="n">
        <v>81</v>
      </c>
      <c r="V62" s="3" t="n">
        <v>14.3</v>
      </c>
      <c r="W62" s="5" t="n">
        <v>15243</v>
      </c>
      <c r="X62" s="5" t="n">
        <v>1761</v>
      </c>
      <c r="Y62" s="5" t="n">
        <v>15600</v>
      </c>
      <c r="Z62" s="3" t="n">
        <v>107</v>
      </c>
      <c r="AA62" s="3" t="n">
        <v>167</v>
      </c>
      <c r="AB62" s="3" t="n">
        <v>518</v>
      </c>
      <c r="AC62" s="6">
        <f>ROUND(W62*(1+'الافتراضات'!$B$9)*'الافتراضات'!$B$4+X62*'الافتراضات'!$B$4+Y62+Z62*'الافتراضات'!$B$10,0)</f>
        <v/>
      </c>
      <c r="AD62" s="7">
        <f>1-T62/L62</f>
        <v/>
      </c>
      <c r="AE62" s="7">
        <f>AB62/K62-1</f>
        <v/>
      </c>
      <c r="AF62" s="6">
        <f>ROUND('الافتراضات'!$B$14*F62/100*IF(G62=80,'الافتراضات'!$B$5,IF(G62=95,'الافتراضات'!$B$7,'الافتراضات'!$B$6))-'الافتراضات'!$B$14*AA62/1000/'الافتراضات'!$B$13*'الافتراضات'!$B$8+'الافتراضات'!$B$14*'الافتراضات'!$B$12,0)</f>
        <v/>
      </c>
      <c r="AG62">
        <f>ROUND(MAX(0,AC62-'الافتراضات'!$B$11)/AF62,1)</f>
        <v/>
      </c>
      <c r="AH62" s="6">
        <f>ROUND('الافتراضات'!$B$15*F62/100*IF(G62=80,'الافتراضات'!$B$5,IF(G62=95,'الافتراضات'!$B$7,'الافتراضات'!$B$6))-'الافتراضات'!$B$15*AA62/1000/'الافتراضات'!$B$13*'الافتراضات'!$B$8+'الافتراضات'!$B$15*'الافتراضات'!$B$12,0)</f>
        <v/>
      </c>
      <c r="AI62">
        <f>ROUND(MAX(0,AC62-'الافتراضات'!$B$11)/AH62,1)</f>
        <v/>
      </c>
      <c r="AJ62" t="inlineStr">
        <is>
          <t>BQ-D100 · PMSM 50/100 kW</t>
        </is>
      </c>
      <c r="AK62" t="n">
        <v>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>
      <c r="A1" s="8" t="inlineStr">
        <is>
          <t>حقيبة مدد 5 · جاهزة 51.2 V / 100 Ah · 5.12 kWh · ≈ 48 kg</t>
        </is>
      </c>
    </row>
    <row r="2">
      <c r="A2" s="2" t="inlineStr">
        <is>
          <t>البند</t>
        </is>
      </c>
      <c r="B2" s="2" t="inlineStr">
        <is>
          <t>الكمية</t>
        </is>
      </c>
      <c r="C2" s="2" t="inlineStr">
        <is>
          <t>سعر الوحدة $</t>
        </is>
      </c>
      <c r="D2" s="2" t="inlineStr">
        <is>
          <t>الإجمالي $</t>
        </is>
      </c>
      <c r="E2" s="2" t="inlineStr">
        <is>
          <t>الإجمالي (ج)</t>
        </is>
      </c>
      <c r="F2" s="2" t="inlineStr">
        <is>
          <t>المنشأ</t>
        </is>
      </c>
      <c r="G2" s="2" t="inlineStr">
        <is>
          <t>الحالة</t>
        </is>
      </c>
      <c r="H2" s="2" t="inlineStr">
        <is>
          <t>المصدر</t>
        </is>
      </c>
    </row>
    <row r="3">
      <c r="A3" t="inlineStr">
        <is>
          <t>بطارية LiFePO4 جاهزة 51.2 V / 100 Ah مع BMS وCAN</t>
        </is>
      </c>
      <c r="B3" t="n">
        <v>1</v>
      </c>
      <c r="C3" s="9" t="n">
        <v>1132</v>
      </c>
      <c r="D3">
        <f>B3*C3</f>
        <v/>
      </c>
      <c r="E3" s="6">
        <f>ROUND(D3*'الافتراضات'!$B$4*(1+IF(F3="محلي",0,'الافتراضات'!$B$9)),0)</f>
        <v/>
      </c>
      <c r="F3" t="inlineStr">
        <is>
          <t>مستورد</t>
        </is>
      </c>
      <c r="G3" t="inlineStr">
        <is>
          <t>سعر منشور</t>
        </is>
      </c>
      <c r="H3" t="inlineStr">
        <is>
          <t>https://powmr.com/ar/products/lifepo4-lithium-battery-100ah-48v</t>
        </is>
      </c>
    </row>
    <row r="4">
      <c r="A4" t="inlineStr">
        <is>
          <t>عاكس هجين 5 kW بجهد 48 V مع منظم شمسي (فئة Growatt SPF 5000 ES)</t>
        </is>
      </c>
      <c r="B4" t="n">
        <v>1</v>
      </c>
      <c r="C4" s="9" t="n">
        <v>851</v>
      </c>
      <c r="D4">
        <f>B4*C4</f>
        <v/>
      </c>
      <c r="E4" s="6">
        <f>ROUND(D4*'الافتراضات'!$B$4*(1+IF(F4="محلي",0,'الافتراضات'!$B$9)),0)</f>
        <v/>
      </c>
      <c r="F4" t="inlineStr">
        <is>
          <t>مستورد</t>
        </is>
      </c>
      <c r="G4" t="inlineStr">
        <is>
          <t>سعر منشور</t>
        </is>
      </c>
      <c r="H4" t="inlineStr">
        <is>
          <t>https://signaturesolar.com/growatt-48v-5kw-450vdc-stackable-off-grid-inverter</t>
        </is>
      </c>
    </row>
    <row r="5">
      <c r="A5" t="inlineStr">
        <is>
          <t>كابل شحن محمول Type 2 بتيار 32 A</t>
        </is>
      </c>
      <c r="B5" t="n">
        <v>1</v>
      </c>
      <c r="C5" s="9" t="n">
        <v>160</v>
      </c>
      <c r="D5">
        <f>B5*C5</f>
        <v/>
      </c>
      <c r="E5" s="6">
        <f>ROUND(D5*'الافتراضات'!$B$4*(1+IF(F5="محلي",0,'الافتراضات'!$B$9)),0)</f>
        <v/>
      </c>
      <c r="F5" t="inlineStr">
        <is>
          <t>مستورد</t>
        </is>
      </c>
      <c r="G5" t="inlineStr">
        <is>
          <t>تقدير</t>
        </is>
      </c>
      <c r="H5" t="inlineStr"/>
    </row>
    <row r="6">
      <c r="A6" t="inlineStr">
        <is>
          <t>عربة بعجلات وسكة تثبيت في الصندوق ومقبس Anderson SB175</t>
        </is>
      </c>
      <c r="B6" t="n">
        <v>1</v>
      </c>
      <c r="C6" s="9" t="n">
        <v>90</v>
      </c>
      <c r="D6">
        <f>B6*C6</f>
        <v/>
      </c>
      <c r="E6" s="6">
        <f>ROUND(D6*'الافتراضات'!$B$4*(1+IF(F6="محلي",0,'الافتراضات'!$B$9)),0)</f>
        <v/>
      </c>
      <c r="F6" t="inlineStr">
        <is>
          <t>محلي</t>
        </is>
      </c>
      <c r="G6" t="inlineStr">
        <is>
          <t>تقدير</t>
        </is>
      </c>
      <c r="H6" t="inlineStr"/>
    </row>
    <row r="7">
      <c r="A7" s="10" t="inlineStr">
        <is>
          <t>الإجمالي</t>
        </is>
      </c>
      <c r="D7" s="10">
        <f>SUM(D3:D6)</f>
        <v/>
      </c>
      <c r="E7" s="11">
        <f>SUM(E3:E6)</f>
        <v/>
      </c>
    </row>
    <row r="10">
      <c r="A10" s="8" t="inlineStr">
        <is>
          <t>حقيبة مدد 14 · تجميع 16 خلية LF280K · 14.3 kWh · ≈ 100 kg</t>
        </is>
      </c>
    </row>
    <row r="11">
      <c r="A11" s="2" t="inlineStr">
        <is>
          <t>البند</t>
        </is>
      </c>
      <c r="B11" s="2" t="inlineStr">
        <is>
          <t>الكمية</t>
        </is>
      </c>
      <c r="C11" s="2" t="inlineStr">
        <is>
          <t>سعر الوحدة $</t>
        </is>
      </c>
      <c r="D11" s="2" t="inlineStr">
        <is>
          <t>الإجمالي $</t>
        </is>
      </c>
      <c r="E11" s="2" t="inlineStr">
        <is>
          <t>الإجمالي (ج)</t>
        </is>
      </c>
      <c r="F11" s="2" t="inlineStr">
        <is>
          <t>المنشأ</t>
        </is>
      </c>
      <c r="G11" s="2" t="inlineStr">
        <is>
          <t>الحالة</t>
        </is>
      </c>
      <c r="H11" s="2" t="inlineStr">
        <is>
          <t>المصدر</t>
        </is>
      </c>
    </row>
    <row r="12">
      <c r="A12" t="inlineStr">
        <is>
          <t>خلايا EVE LF280K بجهد 3.2 V وسعة 280 Ah</t>
        </is>
      </c>
      <c r="B12" t="n">
        <v>16</v>
      </c>
      <c r="C12" s="9" t="n">
        <v>68</v>
      </c>
      <c r="D12">
        <f>B12*C12</f>
        <v/>
      </c>
      <c r="E12" s="6">
        <f>ROUND(D12*'الافتراضات'!$B$4*(1+IF(F12="محلي",0,'الافتراضات'!$B$9)),0)</f>
        <v/>
      </c>
      <c r="F12" t="inlineStr">
        <is>
          <t>مستورد</t>
        </is>
      </c>
      <c r="G12" t="inlineStr">
        <is>
          <t>سعر منشور</t>
        </is>
      </c>
      <c r="H12" t="inlineStr">
        <is>
          <t>https://eu.nkon.nl/eve-lf280-prismatic-280ah-280a-lifepo4.html</t>
        </is>
      </c>
    </row>
    <row r="13">
      <c r="A13" t="inlineStr">
        <is>
          <t>نظام إدارة بطارية 16S بتيار 200 A مع CAN</t>
        </is>
      </c>
      <c r="B13" t="n">
        <v>1</v>
      </c>
      <c r="C13" s="9" t="n">
        <v>150</v>
      </c>
      <c r="D13">
        <f>B13*C13</f>
        <v/>
      </c>
      <c r="E13" s="6">
        <f>ROUND(D13*'الافتراضات'!$B$4*(1+IF(F13="محلي",0,'الافتراضات'!$B$9)),0)</f>
        <v/>
      </c>
      <c r="F13" t="inlineStr">
        <is>
          <t>مستورد</t>
        </is>
      </c>
      <c r="G13" t="inlineStr">
        <is>
          <t>تقدير</t>
        </is>
      </c>
      <c r="H13" t="inlineStr"/>
    </row>
    <row r="14">
      <c r="A14" t="inlineStr">
        <is>
          <t>عاكس هجين 5 kW بجهد 48 V مع منظم شمسي (فئة Growatt SPF 5000 ES)</t>
        </is>
      </c>
      <c r="B14" t="n">
        <v>1</v>
      </c>
      <c r="C14" s="9" t="n">
        <v>851</v>
      </c>
      <c r="D14">
        <f>B14*C14</f>
        <v/>
      </c>
      <c r="E14" s="6">
        <f>ROUND(D14*'الافتراضات'!$B$4*(1+IF(F14="محلي",0,'الافتراضات'!$B$9)),0)</f>
        <v/>
      </c>
      <c r="F14" t="inlineStr">
        <is>
          <t>مستورد</t>
        </is>
      </c>
      <c r="G14" t="inlineStr">
        <is>
          <t>سعر منشور</t>
        </is>
      </c>
      <c r="H14" t="inlineStr">
        <is>
          <t>https://signaturesolar.com/growatt-48v-5kw-450vdc-stackable-off-grid-inverter</t>
        </is>
      </c>
    </row>
    <row r="15">
      <c r="A15" t="inlineStr">
        <is>
          <t>كابل شحن محمول Type 2 بتيار 32 A</t>
        </is>
      </c>
      <c r="B15" t="n">
        <v>1</v>
      </c>
      <c r="C15" s="9" t="n">
        <v>160</v>
      </c>
      <c r="D15">
        <f>B15*C15</f>
        <v/>
      </c>
      <c r="E15" s="6">
        <f>ROUND(D15*'الافتراضات'!$B$4*(1+IF(F15="محلي",0,'الافتراضات'!$B$9)),0)</f>
        <v/>
      </c>
      <c r="F15" t="inlineStr">
        <is>
          <t>مستورد</t>
        </is>
      </c>
      <c r="G15" t="inlineStr">
        <is>
          <t>تقدير</t>
        </is>
      </c>
      <c r="H15" t="inlineStr"/>
    </row>
    <row r="16">
      <c r="A16" t="inlineStr">
        <is>
          <t>صندوق ألومنيوم مضغوط للخلايا مع عربة وسكة تثبيت ومقبس Anderson SB175</t>
        </is>
      </c>
      <c r="B16" t="n">
        <v>1</v>
      </c>
      <c r="C16" s="9" t="n">
        <v>180</v>
      </c>
      <c r="D16">
        <f>B16*C16</f>
        <v/>
      </c>
      <c r="E16" s="6">
        <f>ROUND(D16*'الافتراضات'!$B$4*(1+IF(F16="محلي",0,'الافتراضات'!$B$9)),0)</f>
        <v/>
      </c>
      <c r="F16" t="inlineStr">
        <is>
          <t>محلي</t>
        </is>
      </c>
      <c r="G16" t="inlineStr">
        <is>
          <t>تقدير</t>
        </is>
      </c>
      <c r="H16" t="inlineStr"/>
    </row>
    <row r="17">
      <c r="A17" s="10" t="inlineStr">
        <is>
          <t>الإجمالي</t>
        </is>
      </c>
      <c r="D17" s="10">
        <f>SUM(D12:D16)</f>
        <v/>
      </c>
      <c r="E17" s="11">
        <f>SUM(E12:E16)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الرافعة</t>
        </is>
      </c>
      <c r="B1" s="2" t="inlineStr">
        <is>
          <t>الوصف</t>
        </is>
      </c>
    </row>
    <row r="2">
      <c r="A2" s="10" t="inlineStr">
        <is>
          <t>حزمة التبريد الذكي</t>
        </is>
      </c>
      <c r="B2" s="12" t="inlineStr">
        <is>
          <t>فيلم سيراميك عازل للحرارة على كل الزجاج، وتغليف عاكس للسقف، وتبريد مسبق من الشبكة قبل التحرك، ووضع إعادة التدوير افتراضياً. يخفض حمل المكيف من 1,500 W إلى نحو 1,050 W.</t>
        </is>
      </c>
    </row>
    <row r="3">
      <c r="A3" s="10" t="inlineStr">
        <is>
          <t>حزمة الدحرجة الخفيفة</t>
        </is>
      </c>
      <c r="B3" s="12" t="inlineStr">
        <is>
          <t>إطارات بمقاومة دحرجة منخفضة (فئة A أو B في الملصق الأوروبي) عند موعد التغيير، وضغط هواء أعلى بـ 3 psi، واستبدال الإطار الاحتياطي بعدة إصلاح.</t>
        </is>
      </c>
    </row>
    <row r="4">
      <c r="A4" s="10" t="inlineStr">
        <is>
          <t>وضع مدد في وحدة التحكم</t>
        </is>
      </c>
      <c r="B4" s="12" t="inlineStr">
        <is>
          <t>خريطة دواسة ناعمة، واسترجاع طاقة أقوى عند رفع القدم، وحد سرعة 100 km/h على الطرق السريعة. برمجة فقط دون قطع إضافية.</t>
        </is>
      </c>
    </row>
    <row r="5">
      <c r="A5" s="10" t="inlineStr">
        <is>
          <t>التصنيع والتركيب في مصر</t>
        </is>
      </c>
      <c r="B5" s="12" t="inlineStr">
        <is>
          <t>أغلفة الوحدات وسكك BQ-Rail وحامل المحرك وصفيحة الربط والكابلات تُصنع في ورش مصرية بدل استيرادها، والتركيب بأجر الفني المصري.</t>
        </is>
      </c>
    </row>
    <row r="6">
      <c r="A6" s="10" t="inlineStr">
        <is>
          <t>الاستيراد الجماعي</t>
        </is>
      </c>
      <c r="B6" s="12" t="inlineStr">
        <is>
          <t>حاوية واحدة لنحو 20 طقماً إلى ميناء الإسكندرية، فتنخفض تكلفة الشحن والتخليص للطقم الواحد.</t>
        </is>
      </c>
    </row>
    <row r="7">
      <c r="A7" s="10" t="inlineStr">
        <is>
          <t>المحرك والشاحن بالمقاس الصحيح</t>
        </is>
      </c>
      <c r="B7" s="12" t="inlineStr">
        <is>
          <t>محرك BQ-D60 لكل سيارة حتى 1,450 kg ما دام التسارع من 0 إلى 100 في حدود 14 ثانية (يكفي لسرعات الطرق المصرية)، والإبقاء على علبة السرعات اليدوية، وشاحن 3.3 kW للشحن الليلي حين لا تُستخدم حقيبة مدد.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2" t="inlineStr">
        <is>
          <t>المصدر</t>
        </is>
      </c>
      <c r="B1" s="2" t="inlineStr">
        <is>
          <t>الرابط</t>
        </is>
      </c>
    </row>
    <row r="2">
      <c r="A2" t="inlineStr">
        <is>
          <t>البنك المركزي المصري عبر بانكير: الدولار 55.75 / 55.89 جنيه (25/10/2026)</t>
        </is>
      </c>
      <c r="B2" t="inlineStr">
        <is>
          <t>https://banker.news/157529</t>
        </is>
      </c>
    </row>
    <row r="3">
      <c r="A3" t="inlineStr">
        <is>
          <t>بانكير: أسعار البنزين 80 و92 و95 والسولار (22/10/2026)</t>
        </is>
      </c>
      <c r="B3" t="inlineStr">
        <is>
          <t>https://banker.news/157117</t>
        </is>
      </c>
    </row>
    <row r="4">
      <c r="A4" t="inlineStr">
        <is>
          <t>الدستور: شرائح الكهرباء المنزلية 2026</t>
        </is>
      </c>
      <c r="B4" t="inlineStr">
        <is>
          <t>https://www.dostor.org/5490067</t>
        </is>
      </c>
    </row>
    <row r="5">
      <c r="A5" t="inlineStr">
        <is>
          <t>مصراوي: أسعار شحن Infinity EV بعد زيادة أبريل 2026</t>
        </is>
      </c>
      <c r="B5" t="inlineStr">
        <is>
          <t>https://www.masrawy.com/autos/autos_news/details/2026/8/7/3029336</t>
        </is>
      </c>
    </row>
    <row r="6">
      <c r="A6" t="inlineStr">
        <is>
          <t>مصراوي: تعريفة شحن السيارات الكهربائية التجارية</t>
        </is>
      </c>
      <c r="B6" t="inlineStr">
        <is>
          <t>https://www.masrawy.com/autos/autos_news/details/2025/9/3/2847968/ارتفاع-أسعار-شحن-السيارات-الكهربائية-في-مصر</t>
        </is>
      </c>
    </row>
    <row r="7">
      <c r="A7" t="inlineStr">
        <is>
          <t>مصراوي: الأكثر طلباً في سوق المستعمل بمصر (يونيو 2026)</t>
        </is>
      </c>
      <c r="B7" t="inlineStr">
        <is>
          <t>https://www.masrawy.com/autos/autos_news/details/2026/6/6/2998424/تتصدرها-صني-ولانسر-أكثر-5-سيارات-مطلوبة-في-سوق-المستعمل-بمصر</t>
        </is>
      </c>
    </row>
    <row r="8">
      <c r="A8" t="inlineStr">
        <is>
          <t>الطاقة: ترخيص السيارات المحوّلة إلى الكهرباء في مصر</t>
        </is>
      </c>
      <c r="B8" t="inlineStr">
        <is>
          <t>https://attaqa.net/?p=288532</t>
        </is>
      </c>
    </row>
    <row r="9">
      <c r="A9" t="inlineStr">
        <is>
          <t>PowMr: بطارية LiFePO4 بجهد 51.2 V وسعة 100 Ah مع CAN</t>
        </is>
      </c>
      <c r="B9" t="inlineStr">
        <is>
          <t>https://powmr.com/ar/products/lifepo4-lithium-battery-100ah-48v</t>
        </is>
      </c>
    </row>
    <row r="10">
      <c r="A10" t="inlineStr">
        <is>
          <t>NKON: خلية EVE LF280K بسعة 280 Ah (سعر 64 خلية دون ضريبة)</t>
        </is>
      </c>
      <c r="B10" t="inlineStr">
        <is>
          <t>https://eu.nkon.nl/eve-lf280-prismatic-280ah-280a-lifepo4.html</t>
        </is>
      </c>
    </row>
    <row r="11">
      <c r="A11" t="inlineStr">
        <is>
          <t>Signature Solar: عاكس Growatt SPF 5000 ES بجهد 48 V</t>
        </is>
      </c>
      <c r="B11" t="inlineStr">
        <is>
          <t>https://signaturesolar.com/growatt-48v-5kw-450vdc-stackable-off-grid-inverter</t>
        </is>
      </c>
    </row>
    <row r="12">
      <c r="A12" t="inlineStr">
        <is>
          <t>NREL: أثر الزجاج العاكس للحرارة والطلاء العاكس على حمل التكييف</t>
        </is>
      </c>
      <c r="B12" t="inlineStr">
        <is>
          <t>https://www.osti.gov/biblio/1492505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2026-10-29T07:34:00Z</dcterms:created>
  <dcterms:modified xmlns:dcterms="http://purl.org/dc/terms/" xmlns:xsi="http://www.w3.org/2001/XMLSchema-instance" xsi:type="dcterms:W3CDTF">2026-10-29T07:34:00Z</dcterms:modified>
</cp:coreProperties>
</file>